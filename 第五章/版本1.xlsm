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75" windowWidth="11745" windowHeight="6780" activeTab="1"/>
  </bookViews>
  <sheets>
    <sheet name="Sheet1" sheetId="4" r:id="rId1"/>
    <sheet name="Ex1" sheetId="3" r:id="rId2"/>
    <sheet name="工作表1" sheetId="5" r:id="rId3"/>
    <sheet name="工作表2" sheetId="6" r:id="rId4"/>
  </sheets>
  <calcPr calcId="144525"/>
</workbook>
</file>

<file path=xl/calcChain.xml><?xml version="1.0" encoding="utf-8"?>
<calcChain xmlns="http://schemas.openxmlformats.org/spreadsheetml/2006/main">
  <c r="L6" i="3" l="1"/>
  <c r="J53" i="3"/>
  <c r="K53" i="3" s="1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4" i="3"/>
  <c r="K17" i="5" l="1"/>
  <c r="I17" i="5"/>
  <c r="J17" i="5" s="1"/>
  <c r="H18" i="5"/>
  <c r="G18" i="5"/>
  <c r="F18" i="5"/>
  <c r="H17" i="5"/>
  <c r="G17" i="5"/>
  <c r="F17" i="5"/>
  <c r="H16" i="5"/>
  <c r="G16" i="5"/>
  <c r="F16" i="5"/>
  <c r="H15" i="5"/>
  <c r="G15" i="5"/>
  <c r="F15" i="5"/>
  <c r="H6" i="5"/>
  <c r="H7" i="5"/>
  <c r="H8" i="5"/>
  <c r="H5" i="5"/>
  <c r="G6" i="5"/>
  <c r="G7" i="5"/>
  <c r="G8" i="5"/>
  <c r="G5" i="5"/>
  <c r="F6" i="5"/>
  <c r="F7" i="5"/>
  <c r="F8" i="5"/>
  <c r="F5" i="5"/>
  <c r="L17" i="5" l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L53" i="3" s="1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4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Q52" i="3"/>
  <c r="P52" i="3"/>
  <c r="N67" i="3"/>
  <c r="O67" i="3" s="1"/>
  <c r="N62" i="3" l="1"/>
  <c r="N56" i="3"/>
  <c r="O56" i="3" s="1"/>
  <c r="N58" i="3"/>
  <c r="O58" i="3" s="1"/>
  <c r="N65" i="3"/>
  <c r="O65" i="3" s="1"/>
  <c r="N61" i="3"/>
  <c r="N57" i="3"/>
  <c r="O57" i="3" s="1"/>
  <c r="N53" i="3"/>
  <c r="O53" i="3" s="1"/>
  <c r="N66" i="3"/>
  <c r="O66" i="3" s="1"/>
  <c r="N63" i="3"/>
  <c r="O63" i="3" s="1"/>
  <c r="N59" i="3"/>
  <c r="O59" i="3" s="1"/>
  <c r="N55" i="3"/>
  <c r="O55" i="3" s="1"/>
  <c r="N64" i="3"/>
  <c r="O64" i="3" s="1"/>
  <c r="N60" i="3"/>
  <c r="O60" i="3" s="1"/>
  <c r="N54" i="3"/>
  <c r="O54" i="3" s="1"/>
  <c r="N68" i="3"/>
  <c r="O68" i="3" s="1"/>
  <c r="N93" i="3"/>
  <c r="N278" i="3"/>
  <c r="O278" i="3" s="1"/>
  <c r="N271" i="3"/>
  <c r="O271" i="3" s="1"/>
  <c r="N171" i="3"/>
  <c r="N200" i="3"/>
  <c r="O200" i="3" s="1"/>
  <c r="N128" i="3"/>
  <c r="O128" i="3" s="1"/>
  <c r="R286" i="3"/>
  <c r="R278" i="3"/>
  <c r="R274" i="3"/>
  <c r="R254" i="3"/>
  <c r="R246" i="3"/>
  <c r="R222" i="3"/>
  <c r="R214" i="3"/>
  <c r="R206" i="3"/>
  <c r="R182" i="3"/>
  <c r="R158" i="3"/>
  <c r="R150" i="3"/>
  <c r="R126" i="3"/>
  <c r="R94" i="3"/>
  <c r="R86" i="3"/>
  <c r="R54" i="3"/>
  <c r="R300" i="3"/>
  <c r="R268" i="3"/>
  <c r="R236" i="3"/>
  <c r="R204" i="3"/>
  <c r="R172" i="3"/>
  <c r="R140" i="3"/>
  <c r="R108" i="3"/>
  <c r="R76" i="3"/>
  <c r="O62" i="3"/>
  <c r="R297" i="3"/>
  <c r="R289" i="3"/>
  <c r="R281" i="3"/>
  <c r="R273" i="3"/>
  <c r="R265" i="3"/>
  <c r="R257" i="3"/>
  <c r="R249" i="3"/>
  <c r="R241" i="3"/>
  <c r="R233" i="3"/>
  <c r="R225" i="3"/>
  <c r="R217" i="3"/>
  <c r="R209" i="3"/>
  <c r="R201" i="3"/>
  <c r="R193" i="3"/>
  <c r="R185" i="3"/>
  <c r="R177" i="3"/>
  <c r="R169" i="3"/>
  <c r="R161" i="3"/>
  <c r="R153" i="3"/>
  <c r="R145" i="3"/>
  <c r="R137" i="3"/>
  <c r="R129" i="3"/>
  <c r="R121" i="3"/>
  <c r="R113" i="3"/>
  <c r="R105" i="3"/>
  <c r="R97" i="3"/>
  <c r="R89" i="3"/>
  <c r="R81" i="3"/>
  <c r="R73" i="3"/>
  <c r="R65" i="3"/>
  <c r="R57" i="3"/>
  <c r="R295" i="3"/>
  <c r="R287" i="3"/>
  <c r="R279" i="3"/>
  <c r="R271" i="3"/>
  <c r="R263" i="3"/>
  <c r="R255" i="3"/>
  <c r="R247" i="3"/>
  <c r="R239" i="3"/>
  <c r="R231" i="3"/>
  <c r="R223" i="3"/>
  <c r="R215" i="3"/>
  <c r="R207" i="3"/>
  <c r="R199" i="3"/>
  <c r="R191" i="3"/>
  <c r="R183" i="3"/>
  <c r="R175" i="3"/>
  <c r="R167" i="3"/>
  <c r="R159" i="3"/>
  <c r="R151" i="3"/>
  <c r="R143" i="3"/>
  <c r="R135" i="3"/>
  <c r="R127" i="3"/>
  <c r="R119" i="3"/>
  <c r="R111" i="3"/>
  <c r="R103" i="3"/>
  <c r="R95" i="3"/>
  <c r="R87" i="3"/>
  <c r="R79" i="3"/>
  <c r="R71" i="3"/>
  <c r="R67" i="3"/>
  <c r="I67" i="3" s="1"/>
  <c r="R63" i="3"/>
  <c r="R55" i="3"/>
  <c r="R296" i="3"/>
  <c r="R288" i="3"/>
  <c r="R280" i="3"/>
  <c r="R272" i="3"/>
  <c r="R264" i="3"/>
  <c r="R256" i="3"/>
  <c r="R248" i="3"/>
  <c r="R240" i="3"/>
  <c r="R232" i="3"/>
  <c r="R224" i="3"/>
  <c r="R216" i="3"/>
  <c r="R208" i="3"/>
  <c r="R200" i="3"/>
  <c r="R192" i="3"/>
  <c r="R184" i="3"/>
  <c r="R176" i="3"/>
  <c r="R168" i="3"/>
  <c r="R160" i="3"/>
  <c r="R152" i="3"/>
  <c r="R144" i="3"/>
  <c r="R136" i="3"/>
  <c r="R128" i="3"/>
  <c r="R120" i="3"/>
  <c r="R60" i="3"/>
  <c r="R53" i="3"/>
  <c r="R302" i="3"/>
  <c r="R298" i="3"/>
  <c r="R294" i="3"/>
  <c r="R290" i="3"/>
  <c r="R282" i="3"/>
  <c r="R270" i="3"/>
  <c r="R266" i="3"/>
  <c r="R262" i="3"/>
  <c r="R258" i="3"/>
  <c r="R250" i="3"/>
  <c r="R242" i="3"/>
  <c r="R238" i="3"/>
  <c r="R234" i="3"/>
  <c r="R230" i="3"/>
  <c r="R226" i="3"/>
  <c r="R218" i="3"/>
  <c r="R210" i="3"/>
  <c r="R202" i="3"/>
  <c r="R198" i="3"/>
  <c r="R194" i="3"/>
  <c r="R190" i="3"/>
  <c r="R186" i="3"/>
  <c r="R178" i="3"/>
  <c r="R174" i="3"/>
  <c r="R170" i="3"/>
  <c r="R166" i="3"/>
  <c r="R162" i="3"/>
  <c r="R154" i="3"/>
  <c r="R146" i="3"/>
  <c r="R142" i="3"/>
  <c r="R138" i="3"/>
  <c r="R134" i="3"/>
  <c r="R130" i="3"/>
  <c r="R122" i="3"/>
  <c r="R118" i="3"/>
  <c r="R114" i="3"/>
  <c r="R110" i="3"/>
  <c r="R106" i="3"/>
  <c r="R102" i="3"/>
  <c r="R98" i="3"/>
  <c r="R90" i="3"/>
  <c r="R82" i="3"/>
  <c r="R78" i="3"/>
  <c r="R74" i="3"/>
  <c r="R70" i="3"/>
  <c r="R66" i="3"/>
  <c r="R62" i="3"/>
  <c r="R58" i="3"/>
  <c r="R299" i="3"/>
  <c r="R291" i="3"/>
  <c r="R283" i="3"/>
  <c r="R275" i="3"/>
  <c r="R267" i="3"/>
  <c r="R259" i="3"/>
  <c r="R251" i="3"/>
  <c r="R243" i="3"/>
  <c r="R235" i="3"/>
  <c r="R227" i="3"/>
  <c r="R219" i="3"/>
  <c r="R211" i="3"/>
  <c r="R203" i="3"/>
  <c r="R195" i="3"/>
  <c r="R187" i="3"/>
  <c r="R179" i="3"/>
  <c r="R171" i="3"/>
  <c r="R163" i="3"/>
  <c r="R155" i="3"/>
  <c r="R147" i="3"/>
  <c r="R139" i="3"/>
  <c r="R131" i="3"/>
  <c r="R123" i="3"/>
  <c r="R115" i="3"/>
  <c r="R107" i="3"/>
  <c r="R99" i="3"/>
  <c r="R91" i="3"/>
  <c r="R83" i="3"/>
  <c r="R75" i="3"/>
  <c r="R59" i="3"/>
  <c r="R292" i="3"/>
  <c r="R284" i="3"/>
  <c r="R276" i="3"/>
  <c r="R260" i="3"/>
  <c r="R252" i="3"/>
  <c r="R244" i="3"/>
  <c r="R228" i="3"/>
  <c r="R220" i="3"/>
  <c r="R212" i="3"/>
  <c r="R196" i="3"/>
  <c r="R188" i="3"/>
  <c r="R180" i="3"/>
  <c r="R164" i="3"/>
  <c r="R156" i="3"/>
  <c r="R148" i="3"/>
  <c r="R132" i="3"/>
  <c r="R124" i="3"/>
  <c r="R116" i="3"/>
  <c r="R112" i="3"/>
  <c r="R104" i="3"/>
  <c r="R100" i="3"/>
  <c r="R96" i="3"/>
  <c r="R92" i="3"/>
  <c r="R88" i="3"/>
  <c r="R84" i="3"/>
  <c r="R80" i="3"/>
  <c r="R72" i="3"/>
  <c r="R68" i="3"/>
  <c r="R64" i="3"/>
  <c r="R56" i="3"/>
  <c r="R301" i="3"/>
  <c r="R293" i="3"/>
  <c r="R285" i="3"/>
  <c r="R277" i="3"/>
  <c r="R269" i="3"/>
  <c r="R261" i="3"/>
  <c r="R253" i="3"/>
  <c r="R245" i="3"/>
  <c r="R237" i="3"/>
  <c r="R229" i="3"/>
  <c r="R221" i="3"/>
  <c r="R213" i="3"/>
  <c r="R205" i="3"/>
  <c r="R197" i="3"/>
  <c r="R189" i="3"/>
  <c r="R181" i="3"/>
  <c r="R173" i="3"/>
  <c r="R165" i="3"/>
  <c r="R157" i="3"/>
  <c r="R149" i="3"/>
  <c r="R141" i="3"/>
  <c r="R133" i="3"/>
  <c r="R125" i="3"/>
  <c r="R117" i="3"/>
  <c r="R109" i="3"/>
  <c r="R101" i="3"/>
  <c r="R93" i="3"/>
  <c r="R85" i="3"/>
  <c r="R77" i="3"/>
  <c r="R69" i="3"/>
  <c r="R61" i="3"/>
  <c r="O61" i="3"/>
  <c r="N299" i="3"/>
  <c r="N264" i="3"/>
  <c r="O264" i="3" s="1"/>
  <c r="N250" i="3"/>
  <c r="O250" i="3" s="1"/>
  <c r="N235" i="3"/>
  <c r="N207" i="3"/>
  <c r="O207" i="3" s="1"/>
  <c r="N176" i="3"/>
  <c r="O176" i="3" s="1"/>
  <c r="N160" i="3"/>
  <c r="O160" i="3" s="1"/>
  <c r="N144" i="3"/>
  <c r="O144" i="3" s="1"/>
  <c r="N112" i="3"/>
  <c r="O112" i="3" s="1"/>
  <c r="N107" i="3"/>
  <c r="N96" i="3"/>
  <c r="O96" i="3" s="1"/>
  <c r="N80" i="3"/>
  <c r="O80" i="3" s="1"/>
  <c r="I80" i="3" s="1"/>
  <c r="N285" i="3"/>
  <c r="N221" i="3"/>
  <c r="N214" i="3"/>
  <c r="O214" i="3" s="1"/>
  <c r="N79" i="3"/>
  <c r="O79" i="3" s="1"/>
  <c r="N259" i="3"/>
  <c r="O259" i="3" s="1"/>
  <c r="N245" i="3"/>
  <c r="O245" i="3" s="1"/>
  <c r="N190" i="3"/>
  <c r="N182" i="3"/>
  <c r="N167" i="3"/>
  <c r="N150" i="3"/>
  <c r="N131" i="3"/>
  <c r="N118" i="3"/>
  <c r="N113" i="3"/>
  <c r="O113" i="3" s="1"/>
  <c r="N103" i="3"/>
  <c r="N86" i="3"/>
  <c r="N69" i="3"/>
  <c r="O69" i="3" s="1"/>
  <c r="N157" i="3"/>
  <c r="N277" i="3"/>
  <c r="N227" i="3"/>
  <c r="O227" i="3" s="1"/>
  <c r="N208" i="3"/>
  <c r="O208" i="3" s="1"/>
  <c r="N181" i="3"/>
  <c r="N158" i="3"/>
  <c r="O158" i="3" s="1"/>
  <c r="N134" i="3"/>
  <c r="N126" i="3"/>
  <c r="N117" i="3"/>
  <c r="N143" i="3"/>
  <c r="O143" i="3" s="1"/>
  <c r="N300" i="3"/>
  <c r="O300" i="3" s="1"/>
  <c r="N301" i="3"/>
  <c r="O301" i="3" s="1"/>
  <c r="N297" i="3"/>
  <c r="O297" i="3" s="1"/>
  <c r="N294" i="3"/>
  <c r="O294" i="3" s="1"/>
  <c r="N292" i="3"/>
  <c r="O292" i="3" s="1"/>
  <c r="N293" i="3"/>
  <c r="O293" i="3" s="1"/>
  <c r="N288" i="3"/>
  <c r="O288" i="3" s="1"/>
  <c r="N289" i="3"/>
  <c r="O289" i="3" s="1"/>
  <c r="N287" i="3"/>
  <c r="O287" i="3" s="1"/>
  <c r="N281" i="3"/>
  <c r="O281" i="3" s="1"/>
  <c r="N279" i="3"/>
  <c r="O279" i="3" s="1"/>
  <c r="N280" i="3"/>
  <c r="O280" i="3" s="1"/>
  <c r="N273" i="3"/>
  <c r="O273" i="3" s="1"/>
  <c r="N270" i="3"/>
  <c r="O270" i="3" s="1"/>
  <c r="N265" i="3"/>
  <c r="O265" i="3" s="1"/>
  <c r="N262" i="3"/>
  <c r="O262" i="3" s="1"/>
  <c r="N257" i="3"/>
  <c r="O257" i="3" s="1"/>
  <c r="N255" i="3"/>
  <c r="O255" i="3" s="1"/>
  <c r="N256" i="3"/>
  <c r="O256" i="3" s="1"/>
  <c r="N249" i="3"/>
  <c r="O249" i="3" s="1"/>
  <c r="N247" i="3"/>
  <c r="O247" i="3" s="1"/>
  <c r="N248" i="3"/>
  <c r="O248" i="3" s="1"/>
  <c r="N241" i="3"/>
  <c r="O241" i="3" s="1"/>
  <c r="N238" i="3"/>
  <c r="O238" i="3" s="1"/>
  <c r="N233" i="3"/>
  <c r="O233" i="3" s="1"/>
  <c r="N230" i="3"/>
  <c r="O230" i="3" s="1"/>
  <c r="N225" i="3"/>
  <c r="O225" i="3" s="1"/>
  <c r="N223" i="3"/>
  <c r="O223" i="3" s="1"/>
  <c r="N224" i="3"/>
  <c r="O224" i="3" s="1"/>
  <c r="N217" i="3"/>
  <c r="O217" i="3" s="1"/>
  <c r="N215" i="3"/>
  <c r="O215" i="3" s="1"/>
  <c r="N216" i="3"/>
  <c r="O216" i="3" s="1"/>
  <c r="N204" i="3"/>
  <c r="O204" i="3" s="1"/>
  <c r="N202" i="3"/>
  <c r="O202" i="3" s="1"/>
  <c r="N205" i="3"/>
  <c r="O205" i="3" s="1"/>
  <c r="N196" i="3"/>
  <c r="O196" i="3" s="1"/>
  <c r="N197" i="3"/>
  <c r="O197" i="3" s="1"/>
  <c r="N188" i="3"/>
  <c r="O188" i="3" s="1"/>
  <c r="N187" i="3"/>
  <c r="O187" i="3" s="1"/>
  <c r="N186" i="3"/>
  <c r="O186" i="3" s="1"/>
  <c r="N172" i="3"/>
  <c r="O172" i="3" s="1"/>
  <c r="N173" i="3"/>
  <c r="O173" i="3" s="1"/>
  <c r="N170" i="3"/>
  <c r="O170" i="3" s="1"/>
  <c r="N165" i="3"/>
  <c r="O165" i="3" s="1"/>
  <c r="N164" i="3"/>
  <c r="O164" i="3" s="1"/>
  <c r="N162" i="3"/>
  <c r="O162" i="3" s="1"/>
  <c r="N177" i="3"/>
  <c r="O177" i="3" s="1"/>
  <c r="N145" i="3"/>
  <c r="O145" i="3" s="1"/>
  <c r="N78" i="3"/>
  <c r="O78" i="3" s="1"/>
  <c r="N226" i="3"/>
  <c r="O226" i="3" s="1"/>
  <c r="N254" i="3"/>
  <c r="O254" i="3" s="1"/>
  <c r="N85" i="3"/>
  <c r="O85" i="3" s="1"/>
  <c r="N135" i="3"/>
  <c r="O135" i="3" s="1"/>
  <c r="N163" i="3"/>
  <c r="O163" i="3" s="1"/>
  <c r="N263" i="3"/>
  <c r="O263" i="3" s="1"/>
  <c r="N70" i="3"/>
  <c r="O70" i="3" s="1"/>
  <c r="N102" i="3"/>
  <c r="O102" i="3" s="1"/>
  <c r="N166" i="3"/>
  <c r="O166" i="3" s="1"/>
  <c r="N194" i="3"/>
  <c r="O194" i="3" s="1"/>
  <c r="N222" i="3"/>
  <c r="O222" i="3" s="1"/>
  <c r="N258" i="3"/>
  <c r="O258" i="3" s="1"/>
  <c r="N272" i="3"/>
  <c r="O272" i="3" s="1"/>
  <c r="N290" i="3"/>
  <c r="O290" i="3" s="1"/>
  <c r="N195" i="3"/>
  <c r="O195" i="3" s="1"/>
  <c r="N231" i="3"/>
  <c r="O231" i="3" s="1"/>
  <c r="N295" i="3"/>
  <c r="O295" i="3" s="1"/>
  <c r="I295" i="3" s="1"/>
  <c r="N296" i="3"/>
  <c r="O296" i="3" s="1"/>
  <c r="N276" i="3"/>
  <c r="O276" i="3" s="1"/>
  <c r="N275" i="3"/>
  <c r="O275" i="3" s="1"/>
  <c r="N274" i="3"/>
  <c r="O274" i="3" s="1"/>
  <c r="N268" i="3"/>
  <c r="O268" i="3" s="1"/>
  <c r="N266" i="3"/>
  <c r="O266" i="3" s="1"/>
  <c r="N269" i="3"/>
  <c r="O269" i="3" s="1"/>
  <c r="N260" i="3"/>
  <c r="O260" i="3" s="1"/>
  <c r="N261" i="3"/>
  <c r="O261" i="3" s="1"/>
  <c r="N252" i="3"/>
  <c r="O252" i="3" s="1"/>
  <c r="N251" i="3"/>
  <c r="O251" i="3" s="1"/>
  <c r="N244" i="3"/>
  <c r="O244" i="3" s="1"/>
  <c r="I244" i="3" s="1"/>
  <c r="N243" i="3"/>
  <c r="O243" i="3" s="1"/>
  <c r="N242" i="3"/>
  <c r="O242" i="3" s="1"/>
  <c r="N236" i="3"/>
  <c r="O236" i="3" s="1"/>
  <c r="N234" i="3"/>
  <c r="O234" i="3" s="1"/>
  <c r="N237" i="3"/>
  <c r="O237" i="3" s="1"/>
  <c r="N228" i="3"/>
  <c r="O228" i="3" s="1"/>
  <c r="N229" i="3"/>
  <c r="O229" i="3" s="1"/>
  <c r="N220" i="3"/>
  <c r="O220" i="3" s="1"/>
  <c r="N219" i="3"/>
  <c r="O219" i="3" s="1"/>
  <c r="N212" i="3"/>
  <c r="O212" i="3" s="1"/>
  <c r="N211" i="3"/>
  <c r="O211" i="3" s="1"/>
  <c r="N210" i="3"/>
  <c r="O210" i="3" s="1"/>
  <c r="N209" i="3"/>
  <c r="O209" i="3" s="1"/>
  <c r="N206" i="3"/>
  <c r="O206" i="3" s="1"/>
  <c r="N201" i="3"/>
  <c r="O201" i="3" s="1"/>
  <c r="N198" i="3"/>
  <c r="O198" i="3" s="1"/>
  <c r="N193" i="3"/>
  <c r="O193" i="3" s="1"/>
  <c r="N191" i="3"/>
  <c r="O191" i="3" s="1"/>
  <c r="N192" i="3"/>
  <c r="O192" i="3" s="1"/>
  <c r="N185" i="3"/>
  <c r="O185" i="3" s="1"/>
  <c r="N183" i="3"/>
  <c r="O183" i="3" s="1"/>
  <c r="N179" i="3"/>
  <c r="O179" i="3" s="1"/>
  <c r="N180" i="3"/>
  <c r="O180" i="3" s="1"/>
  <c r="N178" i="3"/>
  <c r="O178" i="3" s="1"/>
  <c r="N161" i="3"/>
  <c r="O161" i="3" s="1"/>
  <c r="N159" i="3"/>
  <c r="O159" i="3" s="1"/>
  <c r="N156" i="3"/>
  <c r="O156" i="3" s="1"/>
  <c r="N155" i="3"/>
  <c r="O155" i="3" s="1"/>
  <c r="N154" i="3"/>
  <c r="O154" i="3" s="1"/>
  <c r="N153" i="3"/>
  <c r="O153" i="3" s="1"/>
  <c r="N151" i="3"/>
  <c r="O151" i="3" s="1"/>
  <c r="N147" i="3"/>
  <c r="O147" i="3" s="1"/>
  <c r="I147" i="3" s="1"/>
  <c r="N148" i="3"/>
  <c r="O148" i="3" s="1"/>
  <c r="N146" i="3"/>
  <c r="O146" i="3" s="1"/>
  <c r="N140" i="3"/>
  <c r="O140" i="3" s="1"/>
  <c r="N141" i="3"/>
  <c r="O141" i="3" s="1"/>
  <c r="N138" i="3"/>
  <c r="O138" i="3" s="1"/>
  <c r="N133" i="3"/>
  <c r="O133" i="3" s="1"/>
  <c r="N132" i="3"/>
  <c r="O132" i="3" s="1"/>
  <c r="N130" i="3"/>
  <c r="O130" i="3" s="1"/>
  <c r="N129" i="3"/>
  <c r="O129" i="3" s="1"/>
  <c r="N127" i="3"/>
  <c r="O127" i="3" s="1"/>
  <c r="N124" i="3"/>
  <c r="O124" i="3" s="1"/>
  <c r="N123" i="3"/>
  <c r="O123" i="3" s="1"/>
  <c r="N122" i="3"/>
  <c r="O122" i="3" s="1"/>
  <c r="N121" i="3"/>
  <c r="O121" i="3" s="1"/>
  <c r="N119" i="3"/>
  <c r="O119" i="3" s="1"/>
  <c r="N115" i="3"/>
  <c r="O115" i="3" s="1"/>
  <c r="I115" i="3" s="1"/>
  <c r="N116" i="3"/>
  <c r="O116" i="3" s="1"/>
  <c r="N114" i="3"/>
  <c r="O114" i="3" s="1"/>
  <c r="N108" i="3"/>
  <c r="O108" i="3" s="1"/>
  <c r="N109" i="3"/>
  <c r="O109" i="3" s="1"/>
  <c r="N106" i="3"/>
  <c r="O106" i="3" s="1"/>
  <c r="N101" i="3"/>
  <c r="O101" i="3" s="1"/>
  <c r="N100" i="3"/>
  <c r="O100" i="3" s="1"/>
  <c r="N98" i="3"/>
  <c r="O98" i="3" s="1"/>
  <c r="I98" i="3" s="1"/>
  <c r="N97" i="3"/>
  <c r="O97" i="3" s="1"/>
  <c r="N95" i="3"/>
  <c r="O95" i="3" s="1"/>
  <c r="N92" i="3"/>
  <c r="O92" i="3" s="1"/>
  <c r="N91" i="3"/>
  <c r="O91" i="3" s="1"/>
  <c r="N90" i="3"/>
  <c r="O90" i="3" s="1"/>
  <c r="N89" i="3"/>
  <c r="O89" i="3" s="1"/>
  <c r="N81" i="3"/>
  <c r="O81" i="3" s="1"/>
  <c r="N73" i="3"/>
  <c r="O73" i="3" s="1"/>
  <c r="N87" i="3"/>
  <c r="O87" i="3" s="1"/>
  <c r="N83" i="3"/>
  <c r="O83" i="3" s="1"/>
  <c r="N84" i="3"/>
  <c r="O84" i="3" s="1"/>
  <c r="N76" i="3"/>
  <c r="O76" i="3" s="1"/>
  <c r="N77" i="3"/>
  <c r="O77" i="3" s="1"/>
  <c r="N82" i="3"/>
  <c r="O82" i="3" s="1"/>
  <c r="N74" i="3"/>
  <c r="O74" i="3" s="1"/>
  <c r="N283" i="3"/>
  <c r="O283" i="3" s="1"/>
  <c r="N169" i="3"/>
  <c r="O169" i="3" s="1"/>
  <c r="N137" i="3"/>
  <c r="O137" i="3" s="1"/>
  <c r="N105" i="3"/>
  <c r="O105" i="3" s="1"/>
  <c r="N94" i="3"/>
  <c r="O94" i="3" s="1"/>
  <c r="N110" i="3"/>
  <c r="O110" i="3" s="1"/>
  <c r="N142" i="3"/>
  <c r="O142" i="3" s="1"/>
  <c r="N174" i="3"/>
  <c r="O174" i="3" s="1"/>
  <c r="N240" i="3"/>
  <c r="O240" i="3" s="1"/>
  <c r="N298" i="3"/>
  <c r="O298" i="3" s="1"/>
  <c r="N71" i="3"/>
  <c r="O71" i="3" s="1"/>
  <c r="N99" i="3"/>
  <c r="O99" i="3" s="1"/>
  <c r="N149" i="3"/>
  <c r="O149" i="3" s="1"/>
  <c r="I149" i="3" s="1"/>
  <c r="N199" i="3"/>
  <c r="O199" i="3" s="1"/>
  <c r="N213" i="3"/>
  <c r="O213" i="3" s="1"/>
  <c r="N291" i="3"/>
  <c r="O291" i="3" s="1"/>
  <c r="N72" i="3"/>
  <c r="O72" i="3" s="1"/>
  <c r="N88" i="3"/>
  <c r="O88" i="3" s="1"/>
  <c r="N104" i="3"/>
  <c r="O104" i="3" s="1"/>
  <c r="N120" i="3"/>
  <c r="O120" i="3" s="1"/>
  <c r="N136" i="3"/>
  <c r="O136" i="3" s="1"/>
  <c r="I136" i="3" s="1"/>
  <c r="N152" i="3"/>
  <c r="O152" i="3" s="1"/>
  <c r="N168" i="3"/>
  <c r="O168" i="3" s="1"/>
  <c r="N184" i="3"/>
  <c r="O184" i="3" s="1"/>
  <c r="N218" i="3"/>
  <c r="O218" i="3" s="1"/>
  <c r="I218" i="3" s="1"/>
  <c r="N232" i="3"/>
  <c r="O232" i="3" s="1"/>
  <c r="N246" i="3"/>
  <c r="O246" i="3" s="1"/>
  <c r="N284" i="3"/>
  <c r="O284" i="3" s="1"/>
  <c r="N75" i="3"/>
  <c r="O75" i="3" s="1"/>
  <c r="N111" i="3"/>
  <c r="O111" i="3" s="1"/>
  <c r="N125" i="3"/>
  <c r="O125" i="3" s="1"/>
  <c r="N139" i="3"/>
  <c r="O139" i="3" s="1"/>
  <c r="N175" i="3"/>
  <c r="O175" i="3" s="1"/>
  <c r="N189" i="3"/>
  <c r="O189" i="3" s="1"/>
  <c r="N203" i="3"/>
  <c r="O203" i="3" s="1"/>
  <c r="N239" i="3"/>
  <c r="O239" i="3" s="1"/>
  <c r="N253" i="3"/>
  <c r="O253" i="3" s="1"/>
  <c r="N267" i="3"/>
  <c r="O267" i="3" s="1"/>
  <c r="N282" i="3"/>
  <c r="O282" i="3" s="1"/>
  <c r="N302" i="3"/>
  <c r="O302" i="3" s="1"/>
  <c r="N286" i="3"/>
  <c r="O286" i="3" s="1"/>
  <c r="I232" i="3" l="1"/>
  <c r="I199" i="3"/>
  <c r="I116" i="3"/>
  <c r="I154" i="3"/>
  <c r="I209" i="3"/>
  <c r="I243" i="3"/>
  <c r="I296" i="3"/>
  <c r="I290" i="3"/>
  <c r="I194" i="3"/>
  <c r="I263" i="3"/>
  <c r="I254" i="3"/>
  <c r="I177" i="3"/>
  <c r="I241" i="3"/>
  <c r="I113" i="3"/>
  <c r="I88" i="3"/>
  <c r="I298" i="3"/>
  <c r="I87" i="3"/>
  <c r="I97" i="3"/>
  <c r="I129" i="3"/>
  <c r="I183" i="3"/>
  <c r="I279" i="3"/>
  <c r="I152" i="3"/>
  <c r="I106" i="3"/>
  <c r="I122" i="3"/>
  <c r="I161" i="3"/>
  <c r="I193" i="3"/>
  <c r="I261" i="3"/>
  <c r="I215" i="3"/>
  <c r="I225" i="3"/>
  <c r="I259" i="3"/>
  <c r="I220" i="3"/>
  <c r="I260" i="3"/>
  <c r="I166" i="3"/>
  <c r="I163" i="3"/>
  <c r="I202" i="3"/>
  <c r="I230" i="3"/>
  <c r="I248" i="3"/>
  <c r="I270" i="3"/>
  <c r="I293" i="3"/>
  <c r="I69" i="3"/>
  <c r="I56" i="3"/>
  <c r="I174" i="3"/>
  <c r="I74" i="3"/>
  <c r="I81" i="3"/>
  <c r="I156" i="3"/>
  <c r="I211" i="3"/>
  <c r="I275" i="3"/>
  <c r="I231" i="3"/>
  <c r="I135" i="3"/>
  <c r="I172" i="3"/>
  <c r="I273" i="3"/>
  <c r="I300" i="3"/>
  <c r="I96" i="3"/>
  <c r="I200" i="3"/>
  <c r="I66" i="3"/>
  <c r="I65" i="3"/>
  <c r="I284" i="3"/>
  <c r="I168" i="3"/>
  <c r="I213" i="3"/>
  <c r="I71" i="3"/>
  <c r="I83" i="3"/>
  <c r="I114" i="3"/>
  <c r="I179" i="3"/>
  <c r="I206" i="3"/>
  <c r="I85" i="3"/>
  <c r="I145" i="3"/>
  <c r="I196" i="3"/>
  <c r="I238" i="3"/>
  <c r="I262" i="3"/>
  <c r="I245" i="3"/>
  <c r="I264" i="3"/>
  <c r="I267" i="3"/>
  <c r="I189" i="3"/>
  <c r="I111" i="3"/>
  <c r="I110" i="3"/>
  <c r="I169" i="3"/>
  <c r="I77" i="3"/>
  <c r="I90" i="3"/>
  <c r="I138" i="3"/>
  <c r="I148" i="3"/>
  <c r="I219" i="3"/>
  <c r="I237" i="3"/>
  <c r="I268" i="3"/>
  <c r="I170" i="3"/>
  <c r="I187" i="3"/>
  <c r="I205" i="3"/>
  <c r="I256" i="3"/>
  <c r="I265" i="3"/>
  <c r="I288" i="3"/>
  <c r="I297" i="3"/>
  <c r="I112" i="3"/>
  <c r="I207" i="3"/>
  <c r="I302" i="3"/>
  <c r="I139" i="3"/>
  <c r="I105" i="3"/>
  <c r="I92" i="3"/>
  <c r="I140" i="3"/>
  <c r="I192" i="3"/>
  <c r="I201" i="3"/>
  <c r="I269" i="3"/>
  <c r="I258" i="3"/>
  <c r="I224" i="3"/>
  <c r="I233" i="3"/>
  <c r="I287" i="3"/>
  <c r="I160" i="3"/>
  <c r="I239" i="3"/>
  <c r="I184" i="3"/>
  <c r="I120" i="3"/>
  <c r="I291" i="3"/>
  <c r="I99" i="3"/>
  <c r="I84" i="3"/>
  <c r="I100" i="3"/>
  <c r="I108" i="3"/>
  <c r="I119" i="3"/>
  <c r="I124" i="3"/>
  <c r="I132" i="3"/>
  <c r="I151" i="3"/>
  <c r="I180" i="3"/>
  <c r="I229" i="3"/>
  <c r="I236" i="3"/>
  <c r="I251" i="3"/>
  <c r="I102" i="3"/>
  <c r="I78" i="3"/>
  <c r="I164" i="3"/>
  <c r="I197" i="3"/>
  <c r="I204" i="3"/>
  <c r="I247" i="3"/>
  <c r="I257" i="3"/>
  <c r="I292" i="3"/>
  <c r="I227" i="3"/>
  <c r="I214" i="3"/>
  <c r="I250" i="3"/>
  <c r="I59" i="3"/>
  <c r="I104" i="3"/>
  <c r="I142" i="3"/>
  <c r="I82" i="3"/>
  <c r="I101" i="3"/>
  <c r="I133" i="3"/>
  <c r="I195" i="3"/>
  <c r="I222" i="3"/>
  <c r="I165" i="3"/>
  <c r="I186" i="3"/>
  <c r="I216" i="3"/>
  <c r="I280" i="3"/>
  <c r="I289" i="3"/>
  <c r="I158" i="3"/>
  <c r="I58" i="3"/>
  <c r="I54" i="3"/>
  <c r="I271" i="3"/>
  <c r="I57" i="3"/>
  <c r="I282" i="3"/>
  <c r="I203" i="3"/>
  <c r="I125" i="3"/>
  <c r="I246" i="3"/>
  <c r="I137" i="3"/>
  <c r="I89" i="3"/>
  <c r="I95" i="3"/>
  <c r="I121" i="3"/>
  <c r="I127" i="3"/>
  <c r="I146" i="3"/>
  <c r="I153" i="3"/>
  <c r="I159" i="3"/>
  <c r="I191" i="3"/>
  <c r="I212" i="3"/>
  <c r="I228" i="3"/>
  <c r="I242" i="3"/>
  <c r="I252" i="3"/>
  <c r="I266" i="3"/>
  <c r="I276" i="3"/>
  <c r="I70" i="3"/>
  <c r="I223" i="3"/>
  <c r="I249" i="3"/>
  <c r="I294" i="3"/>
  <c r="I143" i="3"/>
  <c r="I176" i="3"/>
  <c r="I55" i="3"/>
  <c r="I62" i="3"/>
  <c r="I128" i="3"/>
  <c r="I278" i="3"/>
  <c r="I60" i="3"/>
  <c r="I63" i="3"/>
  <c r="I64" i="3"/>
  <c r="I286" i="3"/>
  <c r="I253" i="3"/>
  <c r="I175" i="3"/>
  <c r="I75" i="3"/>
  <c r="I72" i="3"/>
  <c r="I240" i="3"/>
  <c r="I94" i="3"/>
  <c r="I283" i="3"/>
  <c r="I76" i="3"/>
  <c r="I73" i="3"/>
  <c r="I91" i="3"/>
  <c r="I109" i="3"/>
  <c r="I123" i="3"/>
  <c r="I130" i="3"/>
  <c r="I141" i="3"/>
  <c r="I155" i="3"/>
  <c r="I178" i="3"/>
  <c r="I185" i="3"/>
  <c r="I198" i="3"/>
  <c r="I210" i="3"/>
  <c r="I234" i="3"/>
  <c r="I274" i="3"/>
  <c r="I272" i="3"/>
  <c r="I226" i="3"/>
  <c r="I162" i="3"/>
  <c r="I173" i="3"/>
  <c r="I188" i="3"/>
  <c r="I217" i="3"/>
  <c r="I255" i="3"/>
  <c r="I281" i="3"/>
  <c r="I301" i="3"/>
  <c r="I208" i="3"/>
  <c r="I79" i="3"/>
  <c r="I144" i="3"/>
  <c r="I61" i="3"/>
  <c r="I68" i="3"/>
  <c r="I53" i="3"/>
  <c r="J54" i="3" s="1"/>
  <c r="O171" i="3"/>
  <c r="I171" i="3" s="1"/>
  <c r="O93" i="3"/>
  <c r="I93" i="3" s="1"/>
  <c r="O277" i="3"/>
  <c r="I277" i="3" s="1"/>
  <c r="O235" i="3"/>
  <c r="I235" i="3" s="1"/>
  <c r="O103" i="3"/>
  <c r="I103" i="3" s="1"/>
  <c r="O150" i="3"/>
  <c r="I150" i="3" s="1"/>
  <c r="O126" i="3"/>
  <c r="I126" i="3" s="1"/>
  <c r="O157" i="3"/>
  <c r="I157" i="3" s="1"/>
  <c r="O86" i="3"/>
  <c r="I86" i="3" s="1"/>
  <c r="O131" i="3"/>
  <c r="I131" i="3" s="1"/>
  <c r="O190" i="3"/>
  <c r="I190" i="3" s="1"/>
  <c r="O285" i="3"/>
  <c r="I285" i="3" s="1"/>
  <c r="O107" i="3"/>
  <c r="I107" i="3" s="1"/>
  <c r="O167" i="3"/>
  <c r="I167" i="3" s="1"/>
  <c r="O134" i="3"/>
  <c r="I134" i="3" s="1"/>
  <c r="O299" i="3"/>
  <c r="I299" i="3" s="1"/>
  <c r="O117" i="3"/>
  <c r="I117" i="3" s="1"/>
  <c r="O181" i="3"/>
  <c r="I181" i="3" s="1"/>
  <c r="O118" i="3"/>
  <c r="I118" i="3" s="1"/>
  <c r="O182" i="3"/>
  <c r="I182" i="3" s="1"/>
  <c r="O221" i="3"/>
  <c r="I221" i="3" s="1"/>
  <c r="K54" i="3" l="1"/>
  <c r="L54" i="3" s="1"/>
  <c r="J55" i="3"/>
  <c r="K55" i="3" l="1"/>
  <c r="L55" i="3" s="1"/>
  <c r="J56" i="3"/>
  <c r="K56" i="3" l="1"/>
  <c r="L56" i="3" s="1"/>
  <c r="J57" i="3"/>
  <c r="K57" i="3" s="1"/>
  <c r="J58" i="3" l="1"/>
  <c r="K58" i="3" s="1"/>
  <c r="L57" i="3"/>
  <c r="L58" i="3" l="1"/>
  <c r="J59" i="3"/>
  <c r="K59" i="3" l="1"/>
  <c r="L59" i="3" s="1"/>
  <c r="J60" i="3"/>
  <c r="K60" i="3" s="1"/>
  <c r="L60" i="3" l="1"/>
  <c r="J61" i="3"/>
  <c r="K61" i="3" l="1"/>
  <c r="L61" i="3" s="1"/>
  <c r="J62" i="3"/>
  <c r="K62" i="3" l="1"/>
  <c r="L62" i="3" s="1"/>
  <c r="J63" i="3"/>
  <c r="K63" i="3" l="1"/>
  <c r="L63" i="3" s="1"/>
  <c r="J64" i="3"/>
  <c r="K64" i="3" l="1"/>
  <c r="L64" i="3" s="1"/>
  <c r="J65" i="3"/>
  <c r="K65" i="3" l="1"/>
  <c r="L65" i="3" s="1"/>
  <c r="J66" i="3"/>
  <c r="K66" i="3" l="1"/>
  <c r="L66" i="3" s="1"/>
  <c r="J67" i="3"/>
  <c r="K67" i="3" l="1"/>
  <c r="L67" i="3" s="1"/>
  <c r="J68" i="3"/>
  <c r="K68" i="3" l="1"/>
  <c r="L68" i="3" s="1"/>
  <c r="J69" i="3"/>
  <c r="K69" i="3" l="1"/>
  <c r="L69" i="3" s="1"/>
  <c r="J70" i="3"/>
  <c r="K70" i="3" l="1"/>
  <c r="L70" i="3" s="1"/>
  <c r="J71" i="3"/>
  <c r="K71" i="3" l="1"/>
  <c r="L71" i="3" s="1"/>
  <c r="J72" i="3"/>
  <c r="K72" i="3" l="1"/>
  <c r="L72" i="3" s="1"/>
  <c r="J73" i="3"/>
  <c r="K73" i="3" l="1"/>
  <c r="L73" i="3" s="1"/>
  <c r="J74" i="3"/>
  <c r="K74" i="3" l="1"/>
  <c r="L74" i="3" s="1"/>
  <c r="J75" i="3"/>
  <c r="K75" i="3" l="1"/>
  <c r="L75" i="3" s="1"/>
  <c r="J76" i="3"/>
  <c r="K76" i="3" l="1"/>
  <c r="L76" i="3" s="1"/>
  <c r="J77" i="3"/>
  <c r="K77" i="3" l="1"/>
  <c r="L77" i="3" s="1"/>
  <c r="J78" i="3"/>
  <c r="K78" i="3" s="1"/>
  <c r="L78" i="3" l="1"/>
  <c r="J79" i="3"/>
  <c r="K79" i="3" l="1"/>
  <c r="L79" i="3" s="1"/>
  <c r="J80" i="3"/>
  <c r="K80" i="3" s="1"/>
  <c r="L80" i="3" l="1"/>
  <c r="J81" i="3"/>
  <c r="K81" i="3" l="1"/>
  <c r="L81" i="3" s="1"/>
  <c r="J82" i="3"/>
  <c r="K82" i="3" l="1"/>
  <c r="L82" i="3" s="1"/>
  <c r="J83" i="3"/>
  <c r="K83" i="3" l="1"/>
  <c r="L83" i="3" s="1"/>
  <c r="J84" i="3"/>
  <c r="K84" i="3" l="1"/>
  <c r="L84" i="3" s="1"/>
  <c r="J85" i="3"/>
  <c r="K85" i="3" l="1"/>
  <c r="L85" i="3" s="1"/>
  <c r="J86" i="3"/>
  <c r="K86" i="3" l="1"/>
  <c r="L86" i="3" s="1"/>
  <c r="J87" i="3"/>
  <c r="K87" i="3" l="1"/>
  <c r="L87" i="3" s="1"/>
  <c r="J88" i="3"/>
  <c r="K88" i="3" l="1"/>
  <c r="L88" i="3" s="1"/>
  <c r="J89" i="3"/>
  <c r="K89" i="3" l="1"/>
  <c r="L89" i="3" s="1"/>
  <c r="J90" i="3"/>
  <c r="K90" i="3" l="1"/>
  <c r="L90" i="3" s="1"/>
  <c r="J91" i="3"/>
  <c r="K91" i="3" l="1"/>
  <c r="L91" i="3" s="1"/>
  <c r="J92" i="3"/>
  <c r="K92" i="3" l="1"/>
  <c r="L92" i="3" s="1"/>
  <c r="J93" i="3"/>
  <c r="K93" i="3" l="1"/>
  <c r="L93" i="3" s="1"/>
  <c r="J94" i="3"/>
  <c r="K94" i="3" l="1"/>
  <c r="L94" i="3" s="1"/>
  <c r="J95" i="3"/>
  <c r="K95" i="3" l="1"/>
  <c r="L95" i="3" s="1"/>
  <c r="J96" i="3"/>
  <c r="K96" i="3" l="1"/>
  <c r="L96" i="3" s="1"/>
  <c r="J97" i="3"/>
  <c r="K97" i="3" s="1"/>
  <c r="J98" i="3" l="1"/>
  <c r="K98" i="3" s="1"/>
  <c r="L97" i="3"/>
  <c r="L98" i="3" l="1"/>
  <c r="J99" i="3"/>
  <c r="K99" i="3" l="1"/>
  <c r="L99" i="3" s="1"/>
  <c r="J100" i="3"/>
  <c r="K100" i="3" l="1"/>
  <c r="L100" i="3" s="1"/>
  <c r="J101" i="3"/>
  <c r="K101" i="3" l="1"/>
  <c r="L101" i="3" s="1"/>
  <c r="J102" i="3"/>
  <c r="K102" i="3" l="1"/>
  <c r="L102" i="3" s="1"/>
  <c r="J103" i="3"/>
  <c r="K103" i="3" s="1"/>
  <c r="J104" i="3" l="1"/>
  <c r="L103" i="3"/>
  <c r="K104" i="3" l="1"/>
  <c r="L104" i="3" s="1"/>
  <c r="J105" i="3"/>
  <c r="K105" i="3" l="1"/>
  <c r="L105" i="3" s="1"/>
  <c r="J106" i="3"/>
  <c r="K106" i="3" l="1"/>
  <c r="L106" i="3" s="1"/>
  <c r="J107" i="3"/>
  <c r="K107" i="3" l="1"/>
  <c r="L107" i="3" s="1"/>
  <c r="J108" i="3"/>
  <c r="K108" i="3" l="1"/>
  <c r="L108" i="3" s="1"/>
  <c r="J109" i="3"/>
  <c r="K109" i="3" l="1"/>
  <c r="L109" i="3" s="1"/>
  <c r="J110" i="3"/>
  <c r="K110" i="3" l="1"/>
  <c r="L110" i="3" s="1"/>
  <c r="J111" i="3"/>
  <c r="K111" i="3" l="1"/>
  <c r="L111" i="3" s="1"/>
  <c r="J112" i="3"/>
  <c r="K112" i="3" l="1"/>
  <c r="L112" i="3" s="1"/>
  <c r="J113" i="3"/>
  <c r="K113" i="3" l="1"/>
  <c r="L113" i="3" s="1"/>
  <c r="J114" i="3"/>
  <c r="K114" i="3" l="1"/>
  <c r="L114" i="3" s="1"/>
  <c r="J115" i="3"/>
  <c r="K115" i="3" l="1"/>
  <c r="L115" i="3" s="1"/>
  <c r="J116" i="3"/>
  <c r="K116" i="3" l="1"/>
  <c r="L116" i="3" s="1"/>
  <c r="J117" i="3"/>
  <c r="K117" i="3" l="1"/>
  <c r="L117" i="3" s="1"/>
  <c r="J118" i="3"/>
  <c r="K118" i="3" l="1"/>
  <c r="L118" i="3" s="1"/>
  <c r="J119" i="3"/>
  <c r="K119" i="3" l="1"/>
  <c r="L119" i="3" s="1"/>
  <c r="J120" i="3"/>
  <c r="K120" i="3" l="1"/>
  <c r="L120" i="3" s="1"/>
  <c r="J121" i="3"/>
  <c r="K121" i="3" l="1"/>
  <c r="L121" i="3" s="1"/>
  <c r="J122" i="3"/>
  <c r="K122" i="3" l="1"/>
  <c r="L122" i="3" s="1"/>
  <c r="J123" i="3"/>
  <c r="K123" i="3" s="1"/>
  <c r="L123" i="3" l="1"/>
  <c r="J124" i="3"/>
  <c r="K124" i="3" l="1"/>
  <c r="L124" i="3" s="1"/>
  <c r="J125" i="3"/>
  <c r="K125" i="3" s="1"/>
  <c r="L125" i="3" l="1"/>
  <c r="J126" i="3"/>
  <c r="K126" i="3" s="1"/>
  <c r="L126" i="3" l="1"/>
  <c r="J127" i="3"/>
  <c r="K127" i="3" s="1"/>
  <c r="J128" i="3" l="1"/>
  <c r="L127" i="3"/>
  <c r="K128" i="3" l="1"/>
  <c r="L128" i="3" s="1"/>
  <c r="J129" i="3"/>
  <c r="K129" i="3" l="1"/>
  <c r="L129" i="3" s="1"/>
  <c r="J130" i="3"/>
  <c r="K130" i="3" l="1"/>
  <c r="L130" i="3" s="1"/>
  <c r="J131" i="3"/>
  <c r="K131" i="3" l="1"/>
  <c r="L131" i="3" s="1"/>
  <c r="J132" i="3"/>
  <c r="K132" i="3" l="1"/>
  <c r="L132" i="3" s="1"/>
  <c r="J133" i="3"/>
  <c r="K133" i="3" l="1"/>
  <c r="L133" i="3" s="1"/>
  <c r="J134" i="3"/>
  <c r="K134" i="3" l="1"/>
  <c r="L134" i="3" s="1"/>
  <c r="J135" i="3"/>
  <c r="K135" i="3" l="1"/>
  <c r="L135" i="3" s="1"/>
  <c r="J136" i="3"/>
  <c r="K136" i="3" l="1"/>
  <c r="L136" i="3" s="1"/>
  <c r="J137" i="3"/>
  <c r="K137" i="3" l="1"/>
  <c r="L137" i="3" s="1"/>
  <c r="J138" i="3"/>
  <c r="K138" i="3" l="1"/>
  <c r="L138" i="3" s="1"/>
  <c r="J139" i="3"/>
  <c r="K139" i="3" l="1"/>
  <c r="L139" i="3" s="1"/>
  <c r="J140" i="3"/>
  <c r="K140" i="3" l="1"/>
  <c r="L140" i="3" s="1"/>
  <c r="J141" i="3"/>
  <c r="K141" i="3" s="1"/>
  <c r="L141" i="3" l="1"/>
  <c r="J142" i="3"/>
  <c r="K142" i="3" l="1"/>
  <c r="L142" i="3" s="1"/>
  <c r="J143" i="3"/>
  <c r="K143" i="3" l="1"/>
  <c r="L143" i="3" s="1"/>
  <c r="J144" i="3"/>
  <c r="K144" i="3" l="1"/>
  <c r="L144" i="3" s="1"/>
  <c r="J145" i="3"/>
  <c r="K145" i="3" s="1"/>
  <c r="L145" i="3" l="1"/>
  <c r="J146" i="3"/>
  <c r="K146" i="3" s="1"/>
  <c r="J147" i="3" l="1"/>
  <c r="L146" i="3"/>
  <c r="K147" i="3" l="1"/>
  <c r="L147" i="3" s="1"/>
  <c r="J148" i="3"/>
  <c r="K148" i="3" l="1"/>
  <c r="L148" i="3" s="1"/>
  <c r="J149" i="3"/>
  <c r="K149" i="3" s="1"/>
  <c r="L149" i="3" l="1"/>
  <c r="J150" i="3"/>
  <c r="K150" i="3" s="1"/>
  <c r="J151" i="3" l="1"/>
  <c r="K151" i="3" s="1"/>
  <c r="L150" i="3"/>
  <c r="L151" i="3" l="1"/>
  <c r="J152" i="3"/>
  <c r="K152" i="3" s="1"/>
  <c r="J153" i="3" l="1"/>
  <c r="L152" i="3"/>
  <c r="K153" i="3" l="1"/>
  <c r="L153" i="3" s="1"/>
  <c r="J154" i="3"/>
  <c r="K154" i="3" s="1"/>
  <c r="J155" i="3" l="1"/>
  <c r="L154" i="3"/>
  <c r="K155" i="3" l="1"/>
  <c r="L155" i="3" s="1"/>
  <c r="J156" i="3"/>
  <c r="K156" i="3" l="1"/>
  <c r="L156" i="3" s="1"/>
  <c r="J157" i="3"/>
  <c r="K157" i="3" l="1"/>
  <c r="L157" i="3" s="1"/>
  <c r="J158" i="3"/>
  <c r="K158" i="3" l="1"/>
  <c r="L158" i="3" s="1"/>
  <c r="J159" i="3"/>
  <c r="K159" i="3" l="1"/>
  <c r="L159" i="3" s="1"/>
  <c r="J160" i="3"/>
  <c r="K160" i="3" l="1"/>
  <c r="L160" i="3" s="1"/>
  <c r="J161" i="3"/>
  <c r="K161" i="3" l="1"/>
  <c r="L161" i="3" s="1"/>
  <c r="J162" i="3"/>
  <c r="K162" i="3" l="1"/>
  <c r="L162" i="3" s="1"/>
  <c r="J163" i="3"/>
  <c r="K163" i="3" l="1"/>
  <c r="L163" i="3" s="1"/>
  <c r="J164" i="3"/>
  <c r="K164" i="3" l="1"/>
  <c r="L164" i="3" s="1"/>
  <c r="J165" i="3"/>
  <c r="K165" i="3" l="1"/>
  <c r="L165" i="3" s="1"/>
  <c r="J166" i="3"/>
  <c r="K166" i="3" l="1"/>
  <c r="L166" i="3" s="1"/>
  <c r="J167" i="3"/>
  <c r="K167" i="3" l="1"/>
  <c r="L167" i="3" s="1"/>
  <c r="J168" i="3"/>
  <c r="K168" i="3" l="1"/>
  <c r="L168" i="3" s="1"/>
  <c r="J169" i="3"/>
  <c r="K169" i="3" l="1"/>
  <c r="L169" i="3" s="1"/>
  <c r="J170" i="3"/>
  <c r="K170" i="3" l="1"/>
  <c r="L170" i="3" s="1"/>
  <c r="J171" i="3"/>
  <c r="K171" i="3" l="1"/>
  <c r="L171" i="3" s="1"/>
  <c r="J172" i="3"/>
  <c r="K172" i="3" l="1"/>
  <c r="L172" i="3" s="1"/>
  <c r="J173" i="3"/>
  <c r="K173" i="3" l="1"/>
  <c r="L173" i="3" s="1"/>
  <c r="J174" i="3"/>
  <c r="K174" i="3" l="1"/>
  <c r="L174" i="3" s="1"/>
  <c r="J175" i="3"/>
  <c r="K175" i="3" l="1"/>
  <c r="L175" i="3" s="1"/>
  <c r="J176" i="3"/>
  <c r="K176" i="3" l="1"/>
  <c r="L176" i="3" s="1"/>
  <c r="J177" i="3"/>
  <c r="K177" i="3" l="1"/>
  <c r="L177" i="3" s="1"/>
  <c r="J178" i="3"/>
  <c r="K178" i="3" l="1"/>
  <c r="L178" i="3" s="1"/>
  <c r="J179" i="3"/>
  <c r="K179" i="3" l="1"/>
  <c r="L179" i="3" s="1"/>
  <c r="J180" i="3"/>
  <c r="K180" i="3" l="1"/>
  <c r="L180" i="3" s="1"/>
  <c r="J181" i="3"/>
  <c r="K181" i="3" l="1"/>
  <c r="L181" i="3" s="1"/>
  <c r="J182" i="3"/>
  <c r="K182" i="3" l="1"/>
  <c r="L182" i="3" s="1"/>
  <c r="J183" i="3"/>
  <c r="K183" i="3" l="1"/>
  <c r="L183" i="3" s="1"/>
  <c r="J184" i="3"/>
  <c r="K184" i="3" l="1"/>
  <c r="L184" i="3" s="1"/>
  <c r="J185" i="3"/>
  <c r="K185" i="3" l="1"/>
  <c r="L185" i="3" s="1"/>
  <c r="J186" i="3"/>
  <c r="K186" i="3" l="1"/>
  <c r="L186" i="3" s="1"/>
  <c r="J187" i="3"/>
  <c r="K187" i="3" l="1"/>
  <c r="L187" i="3" s="1"/>
  <c r="J188" i="3"/>
  <c r="K188" i="3" s="1"/>
  <c r="L188" i="3" l="1"/>
  <c r="J189" i="3"/>
  <c r="K189" i="3" s="1"/>
  <c r="J190" i="3" l="1"/>
  <c r="L189" i="3"/>
  <c r="K190" i="3" l="1"/>
  <c r="L190" i="3" s="1"/>
  <c r="J191" i="3"/>
  <c r="K191" i="3" l="1"/>
  <c r="L191" i="3" s="1"/>
  <c r="J192" i="3"/>
  <c r="K192" i="3" l="1"/>
  <c r="L192" i="3" s="1"/>
  <c r="J193" i="3"/>
  <c r="K193" i="3" s="1"/>
  <c r="J194" i="3" l="1"/>
  <c r="L193" i="3"/>
  <c r="K194" i="3" l="1"/>
  <c r="L194" i="3" s="1"/>
  <c r="J195" i="3"/>
  <c r="K195" i="3" l="1"/>
  <c r="L195" i="3" s="1"/>
  <c r="J196" i="3"/>
  <c r="K196" i="3" l="1"/>
  <c r="L196" i="3" s="1"/>
  <c r="J197" i="3"/>
  <c r="K197" i="3" l="1"/>
  <c r="L197" i="3" s="1"/>
  <c r="J198" i="3"/>
  <c r="K198" i="3" l="1"/>
  <c r="L198" i="3" s="1"/>
  <c r="J199" i="3"/>
  <c r="K199" i="3" l="1"/>
  <c r="L199" i="3" s="1"/>
  <c r="J200" i="3"/>
  <c r="K200" i="3" l="1"/>
  <c r="L200" i="3" s="1"/>
  <c r="J201" i="3"/>
  <c r="K201" i="3" l="1"/>
  <c r="L201" i="3" s="1"/>
  <c r="J202" i="3"/>
  <c r="K202" i="3" l="1"/>
  <c r="L202" i="3" s="1"/>
  <c r="J203" i="3"/>
  <c r="K203" i="3" l="1"/>
  <c r="L203" i="3" s="1"/>
  <c r="J204" i="3"/>
  <c r="K204" i="3" l="1"/>
  <c r="L204" i="3" s="1"/>
  <c r="J205" i="3"/>
  <c r="K205" i="3" l="1"/>
  <c r="L205" i="3" s="1"/>
  <c r="J206" i="3"/>
  <c r="K206" i="3" s="1"/>
  <c r="L206" i="3" l="1"/>
  <c r="J207" i="3"/>
  <c r="K207" i="3" l="1"/>
  <c r="L207" i="3" s="1"/>
  <c r="J208" i="3"/>
  <c r="K208" i="3" s="1"/>
  <c r="L208" i="3" l="1"/>
  <c r="J209" i="3"/>
  <c r="K209" i="3" s="1"/>
  <c r="J210" i="3" l="1"/>
  <c r="L209" i="3"/>
  <c r="K210" i="3" l="1"/>
  <c r="L210" i="3" s="1"/>
  <c r="J211" i="3"/>
  <c r="K211" i="3" s="1"/>
  <c r="L211" i="3" l="1"/>
  <c r="J212" i="3"/>
  <c r="K212" i="3" l="1"/>
  <c r="L212" i="3" s="1"/>
  <c r="J213" i="3"/>
  <c r="K213" i="3" l="1"/>
  <c r="L213" i="3" s="1"/>
  <c r="J214" i="3"/>
  <c r="K214" i="3" l="1"/>
  <c r="L214" i="3" s="1"/>
  <c r="J215" i="3"/>
  <c r="K215" i="3" l="1"/>
  <c r="L215" i="3" s="1"/>
  <c r="J216" i="3"/>
  <c r="K216" i="3" l="1"/>
  <c r="L216" i="3" s="1"/>
  <c r="J217" i="3"/>
  <c r="K217" i="3" l="1"/>
  <c r="L217" i="3" s="1"/>
  <c r="J218" i="3"/>
  <c r="K218" i="3" s="1"/>
  <c r="L218" i="3" l="1"/>
  <c r="J219" i="3"/>
  <c r="K219" i="3" l="1"/>
  <c r="L219" i="3" s="1"/>
  <c r="J220" i="3"/>
  <c r="K220" i="3" l="1"/>
  <c r="L220" i="3" s="1"/>
  <c r="J221" i="3"/>
  <c r="K221" i="3" l="1"/>
  <c r="L221" i="3" s="1"/>
  <c r="J222" i="3"/>
  <c r="K222" i="3" l="1"/>
  <c r="L222" i="3" s="1"/>
  <c r="J223" i="3"/>
  <c r="K223" i="3" l="1"/>
  <c r="L223" i="3" s="1"/>
  <c r="J224" i="3"/>
  <c r="K224" i="3" l="1"/>
  <c r="L224" i="3" s="1"/>
  <c r="J225" i="3"/>
  <c r="K225" i="3" l="1"/>
  <c r="L225" i="3" s="1"/>
  <c r="J226" i="3"/>
  <c r="K226" i="3" l="1"/>
  <c r="L226" i="3" s="1"/>
  <c r="J227" i="3"/>
  <c r="K227" i="3" l="1"/>
  <c r="L227" i="3" s="1"/>
  <c r="J228" i="3"/>
  <c r="K228" i="3" l="1"/>
  <c r="L228" i="3" s="1"/>
  <c r="J229" i="3"/>
  <c r="K229" i="3" l="1"/>
  <c r="L229" i="3" s="1"/>
  <c r="J230" i="3"/>
  <c r="K230" i="3" s="1"/>
  <c r="L230" i="3" l="1"/>
  <c r="J231" i="3"/>
  <c r="K231" i="3" l="1"/>
  <c r="L231" i="3" s="1"/>
  <c r="J232" i="3"/>
  <c r="K232" i="3" l="1"/>
  <c r="L232" i="3" s="1"/>
  <c r="J233" i="3"/>
  <c r="K233" i="3" l="1"/>
  <c r="L233" i="3" s="1"/>
  <c r="J234" i="3"/>
  <c r="K234" i="3" l="1"/>
  <c r="L234" i="3" s="1"/>
  <c r="J235" i="3"/>
  <c r="K235" i="3" l="1"/>
  <c r="L235" i="3" s="1"/>
  <c r="J236" i="3"/>
  <c r="K236" i="3" l="1"/>
  <c r="L236" i="3" s="1"/>
  <c r="J237" i="3"/>
  <c r="K237" i="3" l="1"/>
  <c r="L237" i="3" s="1"/>
  <c r="J238" i="3"/>
  <c r="K238" i="3" l="1"/>
  <c r="L238" i="3" s="1"/>
  <c r="J239" i="3"/>
  <c r="K239" i="3" l="1"/>
  <c r="L239" i="3" s="1"/>
  <c r="J240" i="3"/>
  <c r="K240" i="3" l="1"/>
  <c r="L240" i="3" s="1"/>
  <c r="J241" i="3"/>
  <c r="K241" i="3" l="1"/>
  <c r="L241" i="3" s="1"/>
  <c r="J242" i="3"/>
  <c r="K242" i="3" l="1"/>
  <c r="L242" i="3" s="1"/>
  <c r="J243" i="3"/>
  <c r="K243" i="3" l="1"/>
  <c r="L243" i="3" s="1"/>
  <c r="J244" i="3"/>
  <c r="K244" i="3" s="1"/>
  <c r="L244" i="3" l="1"/>
  <c r="J245" i="3"/>
  <c r="K245" i="3" l="1"/>
  <c r="L245" i="3" s="1"/>
  <c r="J246" i="3"/>
  <c r="K246" i="3" s="1"/>
  <c r="L246" i="3" l="1"/>
  <c r="J247" i="3"/>
  <c r="K247" i="3" l="1"/>
  <c r="L247" i="3" s="1"/>
  <c r="J248" i="3"/>
  <c r="K248" i="3" l="1"/>
  <c r="L248" i="3" s="1"/>
  <c r="J249" i="3"/>
  <c r="K249" i="3" l="1"/>
  <c r="L249" i="3" s="1"/>
  <c r="J250" i="3"/>
  <c r="K250" i="3" l="1"/>
  <c r="L250" i="3" s="1"/>
  <c r="J251" i="3"/>
  <c r="K251" i="3" l="1"/>
  <c r="L251" i="3" s="1"/>
  <c r="J252" i="3"/>
  <c r="K252" i="3" l="1"/>
  <c r="L252" i="3" s="1"/>
  <c r="J253" i="3"/>
  <c r="K253" i="3" l="1"/>
  <c r="L253" i="3" s="1"/>
  <c r="J254" i="3"/>
  <c r="K254" i="3" l="1"/>
  <c r="L254" i="3" s="1"/>
  <c r="J255" i="3"/>
  <c r="K255" i="3" s="1"/>
  <c r="J256" i="3" l="1"/>
  <c r="K256" i="3" s="1"/>
  <c r="L255" i="3"/>
  <c r="L256" i="3" l="1"/>
  <c r="J257" i="3"/>
  <c r="K257" i="3" l="1"/>
  <c r="L257" i="3" s="1"/>
  <c r="J258" i="3"/>
  <c r="K258" i="3" l="1"/>
  <c r="L258" i="3" s="1"/>
  <c r="J259" i="3"/>
  <c r="K259" i="3" l="1"/>
  <c r="L259" i="3" s="1"/>
  <c r="J260" i="3"/>
  <c r="K260" i="3" l="1"/>
  <c r="L260" i="3" s="1"/>
  <c r="J261" i="3"/>
  <c r="K261" i="3" s="1"/>
  <c r="J262" i="3" l="1"/>
  <c r="L261" i="3"/>
  <c r="K262" i="3" l="1"/>
  <c r="L262" i="3" s="1"/>
  <c r="J263" i="3"/>
  <c r="K263" i="3" l="1"/>
  <c r="L263" i="3" s="1"/>
  <c r="J264" i="3"/>
  <c r="K264" i="3" s="1"/>
  <c r="L264" i="3" l="1"/>
  <c r="J265" i="3"/>
  <c r="K265" i="3" l="1"/>
  <c r="L265" i="3" s="1"/>
  <c r="J266" i="3"/>
  <c r="K266" i="3" l="1"/>
  <c r="L266" i="3" s="1"/>
  <c r="J267" i="3"/>
  <c r="K267" i="3" l="1"/>
  <c r="L267" i="3" s="1"/>
  <c r="J268" i="3"/>
  <c r="K268" i="3" l="1"/>
  <c r="L268" i="3" s="1"/>
  <c r="J269" i="3"/>
  <c r="K269" i="3" l="1"/>
  <c r="L269" i="3" s="1"/>
  <c r="J270" i="3"/>
  <c r="K270" i="3" l="1"/>
  <c r="L270" i="3" s="1"/>
  <c r="J271" i="3"/>
  <c r="K271" i="3" l="1"/>
  <c r="L271" i="3" s="1"/>
  <c r="J272" i="3"/>
  <c r="K272" i="3" l="1"/>
  <c r="L272" i="3" s="1"/>
  <c r="J273" i="3"/>
  <c r="K273" i="3" l="1"/>
  <c r="L273" i="3" s="1"/>
  <c r="J274" i="3"/>
  <c r="K274" i="3" l="1"/>
  <c r="L274" i="3" s="1"/>
  <c r="J275" i="3"/>
  <c r="K275" i="3" l="1"/>
  <c r="L275" i="3" s="1"/>
  <c r="J276" i="3"/>
  <c r="K276" i="3" l="1"/>
  <c r="L276" i="3" s="1"/>
  <c r="J277" i="3"/>
  <c r="K277" i="3" s="1"/>
  <c r="J278" i="3" l="1"/>
  <c r="K278" i="3" s="1"/>
  <c r="L277" i="3"/>
  <c r="L278" i="3" l="1"/>
  <c r="J279" i="3"/>
  <c r="K279" i="3" l="1"/>
  <c r="L279" i="3" s="1"/>
  <c r="J280" i="3"/>
  <c r="K280" i="3" s="1"/>
  <c r="L280" i="3" l="1"/>
  <c r="J281" i="3"/>
  <c r="K281" i="3" l="1"/>
  <c r="L281" i="3" s="1"/>
  <c r="J282" i="3"/>
  <c r="K282" i="3" s="1"/>
  <c r="L282" i="3" l="1"/>
  <c r="J283" i="3"/>
  <c r="K283" i="3" l="1"/>
  <c r="L283" i="3" s="1"/>
  <c r="J284" i="3"/>
  <c r="K284" i="3" s="1"/>
  <c r="L284" i="3" l="1"/>
  <c r="J285" i="3"/>
  <c r="K285" i="3" l="1"/>
  <c r="L285" i="3" s="1"/>
  <c r="J286" i="3"/>
  <c r="K286" i="3" l="1"/>
  <c r="L286" i="3" s="1"/>
  <c r="J287" i="3"/>
  <c r="K287" i="3" s="1"/>
  <c r="L287" i="3" l="1"/>
  <c r="J288" i="3"/>
  <c r="K288" i="3" l="1"/>
  <c r="L288" i="3" s="1"/>
  <c r="J289" i="3"/>
  <c r="K289" i="3" l="1"/>
  <c r="L289" i="3" s="1"/>
  <c r="J290" i="3"/>
  <c r="K290" i="3" l="1"/>
  <c r="L290" i="3" s="1"/>
  <c r="J291" i="3"/>
  <c r="K291" i="3" l="1"/>
  <c r="L291" i="3" s="1"/>
  <c r="J292" i="3"/>
  <c r="K292" i="3" l="1"/>
  <c r="L292" i="3" s="1"/>
  <c r="J293" i="3"/>
  <c r="K293" i="3" l="1"/>
  <c r="L293" i="3" s="1"/>
  <c r="J294" i="3"/>
  <c r="K294" i="3" s="1"/>
  <c r="L294" i="3" l="1"/>
  <c r="J295" i="3"/>
  <c r="K295" i="3" s="1"/>
  <c r="L295" i="3" l="1"/>
  <c r="J296" i="3"/>
  <c r="K296" i="3" s="1"/>
  <c r="L296" i="3" l="1"/>
  <c r="J297" i="3"/>
  <c r="K297" i="3" l="1"/>
  <c r="L297" i="3" s="1"/>
  <c r="J298" i="3"/>
  <c r="K298" i="3" l="1"/>
  <c r="L298" i="3" s="1"/>
  <c r="J299" i="3"/>
  <c r="K299" i="3" l="1"/>
  <c r="L299" i="3" s="1"/>
  <c r="J300" i="3"/>
  <c r="K300" i="3" s="1"/>
  <c r="J301" i="3" l="1"/>
  <c r="L300" i="3"/>
  <c r="K301" i="3" l="1"/>
  <c r="L301" i="3" s="1"/>
  <c r="J302" i="3"/>
  <c r="K302" i="3" s="1"/>
  <c r="L302" i="3" l="1"/>
  <c r="L5" i="3" s="1"/>
  <c r="L7" i="3" s="1"/>
</calcChain>
</file>

<file path=xl/sharedStrings.xml><?xml version="1.0" encoding="utf-8"?>
<sst xmlns="http://schemas.openxmlformats.org/spreadsheetml/2006/main" count="111" uniqueCount="93">
  <si>
    <t>上漲</t>
    <phoneticPr fontId="3" type="noConversion"/>
  </si>
  <si>
    <t>買賣</t>
    <phoneticPr fontId="3" type="noConversion"/>
  </si>
  <si>
    <t>N</t>
    <phoneticPr fontId="3" type="noConversion"/>
  </si>
  <si>
    <t>下限</t>
    <phoneticPr fontId="3" type="noConversion"/>
  </si>
  <si>
    <t>上限</t>
    <phoneticPr fontId="3" type="noConversion"/>
  </si>
  <si>
    <t>日　期</t>
  </si>
  <si>
    <t>開盤價</t>
  </si>
  <si>
    <t>最高價</t>
  </si>
  <si>
    <t>最低價</t>
  </si>
  <si>
    <t>收盤價</t>
  </si>
  <si>
    <t>成交量</t>
  </si>
  <si>
    <t>心理線指標分析</t>
    <phoneticPr fontId="1" type="noConversion"/>
  </si>
  <si>
    <t>B&amp;H報酬</t>
    <phoneticPr fontId="3" type="noConversion"/>
  </si>
  <si>
    <t>買賣</t>
    <phoneticPr fontId="1" type="noConversion"/>
  </si>
  <si>
    <t>心理線值</t>
    <phoneticPr fontId="3" type="noConversion"/>
  </si>
  <si>
    <t>綜合判斷</t>
  </si>
  <si>
    <t>均線指標分析</t>
    <phoneticPr fontId="1" type="noConversion"/>
  </si>
  <si>
    <t>短均線值</t>
    <phoneticPr fontId="1" type="noConversion"/>
  </si>
  <si>
    <t>長均限值</t>
    <phoneticPr fontId="1" type="noConversion"/>
  </si>
  <si>
    <t>台股期貨日交易資料(連續)</t>
    <phoneticPr fontId="1" type="noConversion"/>
  </si>
  <si>
    <t>短均線</t>
    <phoneticPr fontId="3" type="noConversion"/>
  </si>
  <si>
    <t>長均線</t>
    <phoneticPr fontId="3" type="noConversion"/>
  </si>
  <si>
    <t>K損益</t>
    <phoneticPr fontId="3" type="noConversion"/>
  </si>
  <si>
    <t>部位</t>
    <phoneticPr fontId="1" type="noConversion"/>
  </si>
  <si>
    <t>部位下限</t>
    <phoneticPr fontId="1" type="noConversion"/>
  </si>
  <si>
    <t>累積損益</t>
    <phoneticPr fontId="3" type="noConversion"/>
  </si>
  <si>
    <t>損益計算</t>
    <phoneticPr fontId="1" type="noConversion"/>
  </si>
  <si>
    <t>報酬點數</t>
    <phoneticPr fontId="3" type="noConversion"/>
  </si>
  <si>
    <t>相對報酬</t>
    <phoneticPr fontId="3" type="noConversion"/>
  </si>
  <si>
    <t>部位上限</t>
    <phoneticPr fontId="1" type="noConversion"/>
  </si>
  <si>
    <t>投資績效</t>
    <phoneticPr fontId="1" type="noConversion"/>
  </si>
  <si>
    <t>參數 1</t>
    <phoneticPr fontId="1" type="noConversion"/>
  </si>
  <si>
    <t>參數 2</t>
    <phoneticPr fontId="1" type="noConversion"/>
  </si>
  <si>
    <t>最佳績效</t>
    <phoneticPr fontId="1" type="noConversion"/>
  </si>
  <si>
    <t>最佳參數 1</t>
    <phoneticPr fontId="1" type="noConversion"/>
  </si>
  <si>
    <t>最佳參數 2</t>
  </si>
  <si>
    <t>心理線指標參數</t>
    <phoneticPr fontId="1" type="noConversion"/>
  </si>
  <si>
    <t>均線指標</t>
    <phoneticPr fontId="1" type="noConversion"/>
  </si>
  <si>
    <t>分析試算環境</t>
    <phoneticPr fontId="3" type="noConversion"/>
  </si>
  <si>
    <t>Date</t>
    <phoneticPr fontId="3" type="noConversion"/>
  </si>
  <si>
    <t>O</t>
    <phoneticPr fontId="3" type="noConversion"/>
  </si>
  <si>
    <t>H</t>
    <phoneticPr fontId="3" type="noConversion"/>
  </si>
  <si>
    <t>L</t>
    <phoneticPr fontId="3" type="noConversion"/>
  </si>
  <si>
    <t>C</t>
    <phoneticPr fontId="3" type="noConversion"/>
  </si>
  <si>
    <t>B1(Cn-Cn-1)</t>
    <phoneticPr fontId="3" type="noConversion"/>
  </si>
  <si>
    <t>B2(Cn-On)</t>
    <phoneticPr fontId="3" type="noConversion"/>
  </si>
  <si>
    <t>B3(On-Cn-1)</t>
    <phoneticPr fontId="3" type="noConversion"/>
  </si>
  <si>
    <t>價差定義</t>
    <phoneticPr fontId="3" type="noConversion"/>
  </si>
  <si>
    <t>部位(P)增1(N=1)</t>
    <phoneticPr fontId="3" type="noConversion"/>
  </si>
  <si>
    <t>-2 &gt; -1</t>
    <phoneticPr fontId="3" type="noConversion"/>
  </si>
  <si>
    <t>-1 &gt; 0</t>
    <phoneticPr fontId="3" type="noConversion"/>
  </si>
  <si>
    <t>0 &gt; 1</t>
    <phoneticPr fontId="3" type="noConversion"/>
  </si>
  <si>
    <t>1 &gt; 2</t>
    <phoneticPr fontId="3" type="noConversion"/>
  </si>
  <si>
    <t>部位(P)減1(N=-1)</t>
    <phoneticPr fontId="3" type="noConversion"/>
  </si>
  <si>
    <t>2 &gt; 1</t>
    <phoneticPr fontId="3" type="noConversion"/>
  </si>
  <si>
    <t>1 &gt; 0</t>
    <phoneticPr fontId="3" type="noConversion"/>
  </si>
  <si>
    <t>0 &gt; -1</t>
    <phoneticPr fontId="3" type="noConversion"/>
  </si>
  <si>
    <t>-1 &gt; -2</t>
    <phoneticPr fontId="3" type="noConversion"/>
  </si>
  <si>
    <t>部位(P)不變(N= 0)</t>
    <phoneticPr fontId="3" type="noConversion"/>
  </si>
  <si>
    <t>一般狀況</t>
    <phoneticPr fontId="3" type="noConversion"/>
  </si>
  <si>
    <t>增加</t>
    <phoneticPr fontId="3" type="noConversion"/>
  </si>
  <si>
    <t>減少</t>
    <phoneticPr fontId="3" type="noConversion"/>
  </si>
  <si>
    <t>-</t>
    <phoneticPr fontId="1" type="noConversion"/>
  </si>
  <si>
    <t>台股期貨日交易資料(連續)</t>
  </si>
  <si>
    <t>心理線指標分析</t>
  </si>
  <si>
    <t>均線指標分析</t>
  </si>
  <si>
    <t>部位</t>
  </si>
  <si>
    <t>損益計算</t>
  </si>
  <si>
    <t>隔夜價差</t>
  </si>
  <si>
    <t>當日價差</t>
  </si>
  <si>
    <t>上漲</t>
  </si>
  <si>
    <t>心理線值</t>
  </si>
  <si>
    <t>買賣</t>
  </si>
  <si>
    <t>短均線值</t>
  </si>
  <si>
    <t>長均限值</t>
  </si>
  <si>
    <t>K損益</t>
  </si>
  <si>
    <t>累積損益</t>
  </si>
  <si>
    <t>-</t>
  </si>
  <si>
    <t>心理線指標參數</t>
  </si>
  <si>
    <t>均線指標</t>
  </si>
  <si>
    <t>部位上限</t>
  </si>
  <si>
    <t>投資績效</t>
  </si>
  <si>
    <t>N</t>
  </si>
  <si>
    <t>短均線</t>
  </si>
  <si>
    <t>報酬點數</t>
  </si>
  <si>
    <t>下限</t>
  </si>
  <si>
    <t>長均線</t>
  </si>
  <si>
    <t>部位下限</t>
  </si>
  <si>
    <t>B&amp;H報酬</t>
  </si>
  <si>
    <t>上限</t>
  </si>
  <si>
    <t>相對報酬</t>
  </si>
  <si>
    <t>隔K價差</t>
    <phoneticPr fontId="1" type="noConversion"/>
  </si>
  <si>
    <t>當K價差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</si>
</sst>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&quot;$&quot;#,##0.00"/>
    <numFmt numFmtId="177" formatCode="#,##0_ "/>
    <numFmt numFmtId="178" formatCode="0.0000_ "/>
    <numFmt numFmtId="179" formatCode="0.000_ "/>
    <numFmt numFmtId="180" formatCode="0.00_ "/>
    <numFmt numFmtId="181" formatCode="0_);[Red]\(0\)"/>
  </numFmts>
  <fonts count="7" x14ac:knownFonts="1"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2"/>
      <name val="Times New Roman"/>
      <family val="1"/>
    </font>
    <font>
      <sz val="9"/>
      <name val="新細明體"/>
      <family val="1"/>
      <charset val="136"/>
    </font>
    <font>
      <sz val="12"/>
      <color theme="0"/>
      <name val="新細明體"/>
      <family val="1"/>
      <charset val="136"/>
    </font>
    <font>
      <sz val="12"/>
      <color theme="4" tint="-0.249977111117893"/>
      <name val="新細明體"/>
      <family val="1"/>
      <charset val="136"/>
    </font>
    <font>
      <b/>
      <sz val="12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12" xfId="0" applyBorder="1"/>
    <xf numFmtId="0" fontId="0" fillId="0" borderId="13" xfId="0" applyBorder="1"/>
    <xf numFmtId="0" fontId="0" fillId="3" borderId="14" xfId="0" applyFill="1" applyBorder="1" applyAlignment="1">
      <alignment vertical="center"/>
    </xf>
    <xf numFmtId="0" fontId="0" fillId="0" borderId="0" xfId="0" applyBorder="1" applyAlignment="1">
      <alignment horizontal="center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0" xfId="0" applyFill="1" applyBorder="1"/>
    <xf numFmtId="0" fontId="4" fillId="5" borderId="5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4" borderId="21" xfId="0" applyFill="1" applyBorder="1"/>
    <xf numFmtId="0" fontId="0" fillId="0" borderId="13" xfId="0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180" fontId="0" fillId="0" borderId="22" xfId="0" applyNumberFormat="1" applyBorder="1" applyAlignment="1">
      <alignment horizontal="center"/>
    </xf>
    <xf numFmtId="180" fontId="0" fillId="0" borderId="20" xfId="0" applyNumberFormat="1" applyBorder="1" applyAlignment="1">
      <alignment horizontal="center"/>
    </xf>
    <xf numFmtId="0" fontId="4" fillId="5" borderId="25" xfId="0" applyFont="1" applyFill="1" applyBorder="1" applyAlignment="1">
      <alignment horizontal="center"/>
    </xf>
    <xf numFmtId="0" fontId="4" fillId="5" borderId="26" xfId="0" applyFont="1" applyFill="1" applyBorder="1" applyAlignment="1">
      <alignment horizontal="center"/>
    </xf>
    <xf numFmtId="0" fontId="4" fillId="5" borderId="27" xfId="0" applyFont="1" applyFill="1" applyBorder="1" applyAlignment="1">
      <alignment horizontal="center"/>
    </xf>
    <xf numFmtId="0" fontId="0" fillId="0" borderId="29" xfId="0" applyBorder="1"/>
    <xf numFmtId="0" fontId="0" fillId="0" borderId="29" xfId="0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3" xfId="0" applyBorder="1" applyAlignment="1">
      <alignment horizontal="center"/>
    </xf>
    <xf numFmtId="179" fontId="0" fillId="6" borderId="6" xfId="0" applyNumberFormat="1" applyFill="1" applyBorder="1" applyAlignment="1">
      <alignment horizontal="center"/>
    </xf>
    <xf numFmtId="180" fontId="0" fillId="6" borderId="6" xfId="0" applyNumberFormat="1" applyFill="1" applyBorder="1" applyAlignment="1">
      <alignment horizontal="center"/>
    </xf>
    <xf numFmtId="179" fontId="0" fillId="6" borderId="1" xfId="0" applyNumberFormat="1" applyFill="1" applyBorder="1" applyAlignment="1">
      <alignment horizontal="center"/>
    </xf>
    <xf numFmtId="180" fontId="0" fillId="6" borderId="1" xfId="0" applyNumberFormat="1" applyFill="1" applyBorder="1" applyAlignment="1">
      <alignment horizontal="center"/>
    </xf>
    <xf numFmtId="179" fontId="0" fillId="6" borderId="2" xfId="0" applyNumberFormat="1" applyFill="1" applyBorder="1" applyAlignment="1">
      <alignment horizontal="center"/>
    </xf>
    <xf numFmtId="180" fontId="0" fillId="6" borderId="2" xfId="0" applyNumberFormat="1" applyFill="1" applyBorder="1" applyAlignment="1">
      <alignment horizontal="center"/>
    </xf>
    <xf numFmtId="0" fontId="0" fillId="7" borderId="5" xfId="0" applyFill="1" applyBorder="1" applyAlignment="1">
      <alignment vertical="center"/>
    </xf>
    <xf numFmtId="177" fontId="0" fillId="7" borderId="6" xfId="0" applyNumberFormat="1" applyFill="1" applyBorder="1" applyAlignment="1">
      <alignment vertical="center"/>
    </xf>
    <xf numFmtId="177" fontId="0" fillId="7" borderId="7" xfId="0" applyNumberFormat="1" applyFill="1" applyBorder="1" applyAlignment="1">
      <alignment vertical="center"/>
    </xf>
    <xf numFmtId="0" fontId="0" fillId="7" borderId="8" xfId="0" applyFill="1" applyBorder="1" applyAlignment="1">
      <alignment vertical="center"/>
    </xf>
    <xf numFmtId="177" fontId="0" fillId="7" borderId="1" xfId="0" applyNumberFormat="1" applyFill="1" applyBorder="1" applyAlignment="1">
      <alignment vertical="center"/>
    </xf>
    <xf numFmtId="177" fontId="0" fillId="7" borderId="3" xfId="0" applyNumberFormat="1" applyFill="1" applyBorder="1" applyAlignment="1">
      <alignment vertical="center"/>
    </xf>
    <xf numFmtId="0" fontId="0" fillId="7" borderId="40" xfId="0" applyFill="1" applyBorder="1" applyAlignment="1">
      <alignment vertical="center"/>
    </xf>
    <xf numFmtId="177" fontId="0" fillId="7" borderId="41" xfId="0" applyNumberFormat="1" applyFill="1" applyBorder="1" applyAlignment="1">
      <alignment vertical="center"/>
    </xf>
    <xf numFmtId="177" fontId="0" fillId="7" borderId="44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177" fontId="0" fillId="7" borderId="2" xfId="0" applyNumberFormat="1" applyFill="1" applyBorder="1" applyAlignment="1">
      <alignment vertical="center"/>
    </xf>
    <xf numFmtId="177" fontId="0" fillId="7" borderId="4" xfId="0" applyNumberFormat="1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177" fontId="0" fillId="6" borderId="45" xfId="0" applyNumberFormat="1" applyFill="1" applyBorder="1" applyAlignment="1">
      <alignment vertical="center"/>
    </xf>
    <xf numFmtId="177" fontId="0" fillId="6" borderId="15" xfId="0" applyNumberFormat="1" applyFill="1" applyBorder="1" applyAlignment="1">
      <alignment vertical="center"/>
    </xf>
    <xf numFmtId="177" fontId="0" fillId="6" borderId="31" xfId="0" applyNumberFormat="1" applyFill="1" applyBorder="1" applyAlignment="1">
      <alignment vertical="center"/>
    </xf>
    <xf numFmtId="177" fontId="0" fillId="6" borderId="30" xfId="0" applyNumberFormat="1" applyFill="1" applyBorder="1" applyAlignment="1">
      <alignment vertical="center"/>
    </xf>
    <xf numFmtId="0" fontId="0" fillId="6" borderId="5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180" fontId="0" fillId="6" borderId="5" xfId="0" applyNumberFormat="1" applyFill="1" applyBorder="1" applyAlignment="1">
      <alignment horizontal="center"/>
    </xf>
    <xf numFmtId="180" fontId="0" fillId="6" borderId="8" xfId="0" applyNumberFormat="1" applyFill="1" applyBorder="1" applyAlignment="1">
      <alignment horizontal="center"/>
    </xf>
    <xf numFmtId="180" fontId="0" fillId="6" borderId="9" xfId="0" applyNumberFormat="1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178" fontId="0" fillId="6" borderId="43" xfId="0" applyNumberFormat="1" applyFill="1" applyBorder="1"/>
    <xf numFmtId="178" fontId="0" fillId="0" borderId="11" xfId="0" applyNumberFormat="1" applyBorder="1"/>
    <xf numFmtId="0" fontId="4" fillId="5" borderId="12" xfId="0" applyFont="1" applyFill="1" applyBorder="1" applyAlignment="1">
      <alignment horizontal="center"/>
    </xf>
    <xf numFmtId="176" fontId="0" fillId="0" borderId="14" xfId="0" applyNumberFormat="1" applyBorder="1"/>
    <xf numFmtId="176" fontId="0" fillId="6" borderId="46" xfId="0" applyNumberFormat="1" applyFill="1" applyBorder="1"/>
    <xf numFmtId="176" fontId="0" fillId="6" borderId="47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8" borderId="48" xfId="0" applyFill="1" applyBorder="1"/>
    <xf numFmtId="0" fontId="0" fillId="8" borderId="49" xfId="0" applyFill="1" applyBorder="1"/>
    <xf numFmtId="0" fontId="0" fillId="8" borderId="50" xfId="0" applyFill="1" applyBorder="1"/>
    <xf numFmtId="0" fontId="0" fillId="4" borderId="28" xfId="0" applyFill="1" applyBorder="1"/>
    <xf numFmtId="0" fontId="0" fillId="4" borderId="51" xfId="0" applyFill="1" applyBorder="1"/>
    <xf numFmtId="0" fontId="4" fillId="5" borderId="5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9" borderId="0" xfId="0" applyFill="1"/>
    <xf numFmtId="0" fontId="0" fillId="0" borderId="10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4" borderId="38" xfId="0" applyFill="1" applyBorder="1"/>
    <xf numFmtId="0" fontId="5" fillId="0" borderId="39" xfId="0" applyFont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0" fillId="4" borderId="14" xfId="0" applyFill="1" applyBorder="1"/>
    <xf numFmtId="181" fontId="6" fillId="3" borderId="37" xfId="0" applyNumberFormat="1" applyFont="1" applyFill="1" applyBorder="1"/>
    <xf numFmtId="181" fontId="2" fillId="3" borderId="46" xfId="0" applyNumberFormat="1" applyFont="1" applyFill="1" applyBorder="1"/>
    <xf numFmtId="181" fontId="0" fillId="3" borderId="54" xfId="0" applyNumberFormat="1" applyFill="1" applyBorder="1"/>
    <xf numFmtId="176" fontId="0" fillId="6" borderId="54" xfId="0" applyNumberFormat="1" applyFill="1" applyBorder="1"/>
    <xf numFmtId="0" fontId="0" fillId="2" borderId="30" xfId="0" applyFill="1" applyBorder="1"/>
    <xf numFmtId="0" fontId="0" fillId="2" borderId="15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Font="1" applyBorder="1" applyAlignment="1">
      <alignment horizontal="center"/>
    </xf>
    <xf numFmtId="0" fontId="0" fillId="0" borderId="38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'Ex1'!$K$2</c:f>
              <c:strCache>
                <c:ptCount val="1"/>
                <c:pt idx="0">
                  <c:v>K損益</c:v>
                </c:pt>
              </c:strCache>
            </c:strRef>
          </c:tx>
          <c:invertIfNegative val="0"/>
          <c:val>
            <c:numRef>
              <c:f>'Ex1'!$K$53:$K$302</c:f>
              <c:numCache>
                <c:formatCode>0.0000_ 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82</c:v>
                </c:pt>
                <c:pt idx="9">
                  <c:v>-156</c:v>
                </c:pt>
                <c:pt idx="10">
                  <c:v>239</c:v>
                </c:pt>
                <c:pt idx="11">
                  <c:v>-11</c:v>
                </c:pt>
                <c:pt idx="12">
                  <c:v>183</c:v>
                </c:pt>
                <c:pt idx="13">
                  <c:v>100</c:v>
                </c:pt>
                <c:pt idx="14">
                  <c:v>-19</c:v>
                </c:pt>
                <c:pt idx="15">
                  <c:v>29</c:v>
                </c:pt>
                <c:pt idx="16">
                  <c:v>64</c:v>
                </c:pt>
                <c:pt idx="17">
                  <c:v>-147</c:v>
                </c:pt>
                <c:pt idx="18">
                  <c:v>-236</c:v>
                </c:pt>
                <c:pt idx="19">
                  <c:v>-44</c:v>
                </c:pt>
                <c:pt idx="20">
                  <c:v>43</c:v>
                </c:pt>
                <c:pt idx="21">
                  <c:v>-101</c:v>
                </c:pt>
                <c:pt idx="22">
                  <c:v>-13</c:v>
                </c:pt>
                <c:pt idx="23">
                  <c:v>123</c:v>
                </c:pt>
                <c:pt idx="24">
                  <c:v>-42</c:v>
                </c:pt>
                <c:pt idx="25">
                  <c:v>136</c:v>
                </c:pt>
                <c:pt idx="26">
                  <c:v>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395</c:v>
                </c:pt>
                <c:pt idx="68">
                  <c:v>-28</c:v>
                </c:pt>
                <c:pt idx="69">
                  <c:v>524</c:v>
                </c:pt>
                <c:pt idx="70">
                  <c:v>500</c:v>
                </c:pt>
                <c:pt idx="71">
                  <c:v>296</c:v>
                </c:pt>
                <c:pt idx="72">
                  <c:v>-28</c:v>
                </c:pt>
                <c:pt idx="73">
                  <c:v>-156</c:v>
                </c:pt>
                <c:pt idx="74">
                  <c:v>-686</c:v>
                </c:pt>
                <c:pt idx="75">
                  <c:v>152</c:v>
                </c:pt>
                <c:pt idx="76">
                  <c:v>-2</c:v>
                </c:pt>
                <c:pt idx="77">
                  <c:v>-316</c:v>
                </c:pt>
                <c:pt idx="78">
                  <c:v>94</c:v>
                </c:pt>
                <c:pt idx="79">
                  <c:v>-472</c:v>
                </c:pt>
                <c:pt idx="80">
                  <c:v>190</c:v>
                </c:pt>
                <c:pt idx="81">
                  <c:v>-46</c:v>
                </c:pt>
                <c:pt idx="82">
                  <c:v>-226</c:v>
                </c:pt>
                <c:pt idx="83">
                  <c:v>-228</c:v>
                </c:pt>
                <c:pt idx="84">
                  <c:v>-246</c:v>
                </c:pt>
                <c:pt idx="85">
                  <c:v>218</c:v>
                </c:pt>
                <c:pt idx="86">
                  <c:v>-76</c:v>
                </c:pt>
                <c:pt idx="87">
                  <c:v>154</c:v>
                </c:pt>
                <c:pt idx="88">
                  <c:v>10</c:v>
                </c:pt>
                <c:pt idx="89">
                  <c:v>221</c:v>
                </c:pt>
                <c:pt idx="90">
                  <c:v>30</c:v>
                </c:pt>
                <c:pt idx="91">
                  <c:v>41</c:v>
                </c:pt>
                <c:pt idx="92">
                  <c:v>-261</c:v>
                </c:pt>
                <c:pt idx="93">
                  <c:v>-52</c:v>
                </c:pt>
                <c:pt idx="94">
                  <c:v>-49</c:v>
                </c:pt>
                <c:pt idx="95">
                  <c:v>40</c:v>
                </c:pt>
                <c:pt idx="96">
                  <c:v>292</c:v>
                </c:pt>
                <c:pt idx="97">
                  <c:v>-46</c:v>
                </c:pt>
                <c:pt idx="98">
                  <c:v>462</c:v>
                </c:pt>
                <c:pt idx="99">
                  <c:v>-50</c:v>
                </c:pt>
                <c:pt idx="100">
                  <c:v>-482</c:v>
                </c:pt>
                <c:pt idx="101">
                  <c:v>370</c:v>
                </c:pt>
                <c:pt idx="102">
                  <c:v>-50</c:v>
                </c:pt>
                <c:pt idx="103">
                  <c:v>76</c:v>
                </c:pt>
                <c:pt idx="104">
                  <c:v>152</c:v>
                </c:pt>
                <c:pt idx="105">
                  <c:v>-38</c:v>
                </c:pt>
                <c:pt idx="106">
                  <c:v>-302</c:v>
                </c:pt>
                <c:pt idx="107">
                  <c:v>-360</c:v>
                </c:pt>
                <c:pt idx="108">
                  <c:v>60</c:v>
                </c:pt>
                <c:pt idx="109">
                  <c:v>52</c:v>
                </c:pt>
                <c:pt idx="110">
                  <c:v>-54</c:v>
                </c:pt>
                <c:pt idx="111">
                  <c:v>16</c:v>
                </c:pt>
                <c:pt idx="112">
                  <c:v>358</c:v>
                </c:pt>
                <c:pt idx="113">
                  <c:v>-50</c:v>
                </c:pt>
                <c:pt idx="114">
                  <c:v>260</c:v>
                </c:pt>
                <c:pt idx="115">
                  <c:v>65</c:v>
                </c:pt>
                <c:pt idx="116">
                  <c:v>46</c:v>
                </c:pt>
                <c:pt idx="117">
                  <c:v>-300</c:v>
                </c:pt>
                <c:pt idx="118">
                  <c:v>-31</c:v>
                </c:pt>
                <c:pt idx="119">
                  <c:v>-47</c:v>
                </c:pt>
                <c:pt idx="120">
                  <c:v>55</c:v>
                </c:pt>
                <c:pt idx="121">
                  <c:v>246</c:v>
                </c:pt>
                <c:pt idx="122">
                  <c:v>-16</c:v>
                </c:pt>
                <c:pt idx="123">
                  <c:v>-542</c:v>
                </c:pt>
                <c:pt idx="124">
                  <c:v>168</c:v>
                </c:pt>
                <c:pt idx="125">
                  <c:v>33</c:v>
                </c:pt>
                <c:pt idx="126">
                  <c:v>8</c:v>
                </c:pt>
                <c:pt idx="127">
                  <c:v>-117</c:v>
                </c:pt>
                <c:pt idx="128">
                  <c:v>-108</c:v>
                </c:pt>
                <c:pt idx="129">
                  <c:v>29</c:v>
                </c:pt>
                <c:pt idx="130">
                  <c:v>114</c:v>
                </c:pt>
                <c:pt idx="131">
                  <c:v>76</c:v>
                </c:pt>
                <c:pt idx="132">
                  <c:v>-81</c:v>
                </c:pt>
                <c:pt idx="133">
                  <c:v>173</c:v>
                </c:pt>
                <c:pt idx="134">
                  <c:v>13</c:v>
                </c:pt>
                <c:pt idx="135">
                  <c:v>41</c:v>
                </c:pt>
                <c:pt idx="136">
                  <c:v>61</c:v>
                </c:pt>
                <c:pt idx="137">
                  <c:v>-113</c:v>
                </c:pt>
                <c:pt idx="138">
                  <c:v>126</c:v>
                </c:pt>
                <c:pt idx="139">
                  <c:v>10</c:v>
                </c:pt>
                <c:pt idx="140">
                  <c:v>-162</c:v>
                </c:pt>
                <c:pt idx="141">
                  <c:v>-136</c:v>
                </c:pt>
                <c:pt idx="142">
                  <c:v>84</c:v>
                </c:pt>
                <c:pt idx="143">
                  <c:v>-210</c:v>
                </c:pt>
                <c:pt idx="144">
                  <c:v>126</c:v>
                </c:pt>
                <c:pt idx="145">
                  <c:v>-90</c:v>
                </c:pt>
                <c:pt idx="146">
                  <c:v>170</c:v>
                </c:pt>
                <c:pt idx="147">
                  <c:v>22</c:v>
                </c:pt>
                <c:pt idx="148">
                  <c:v>66</c:v>
                </c:pt>
                <c:pt idx="149">
                  <c:v>-358</c:v>
                </c:pt>
                <c:pt idx="150">
                  <c:v>-25</c:v>
                </c:pt>
                <c:pt idx="151">
                  <c:v>144</c:v>
                </c:pt>
                <c:pt idx="152">
                  <c:v>84</c:v>
                </c:pt>
                <c:pt idx="153">
                  <c:v>33</c:v>
                </c:pt>
                <c:pt idx="154">
                  <c:v>-4</c:v>
                </c:pt>
                <c:pt idx="155">
                  <c:v>87</c:v>
                </c:pt>
                <c:pt idx="156">
                  <c:v>204</c:v>
                </c:pt>
                <c:pt idx="157">
                  <c:v>-20</c:v>
                </c:pt>
                <c:pt idx="158">
                  <c:v>304</c:v>
                </c:pt>
                <c:pt idx="159">
                  <c:v>124</c:v>
                </c:pt>
                <c:pt idx="160">
                  <c:v>190</c:v>
                </c:pt>
                <c:pt idx="161">
                  <c:v>-42</c:v>
                </c:pt>
                <c:pt idx="162">
                  <c:v>-47</c:v>
                </c:pt>
                <c:pt idx="163">
                  <c:v>-30</c:v>
                </c:pt>
                <c:pt idx="164">
                  <c:v>181</c:v>
                </c:pt>
                <c:pt idx="165">
                  <c:v>131</c:v>
                </c:pt>
                <c:pt idx="166">
                  <c:v>98</c:v>
                </c:pt>
                <c:pt idx="167">
                  <c:v>25</c:v>
                </c:pt>
                <c:pt idx="168">
                  <c:v>-32</c:v>
                </c:pt>
                <c:pt idx="169">
                  <c:v>-178</c:v>
                </c:pt>
                <c:pt idx="170">
                  <c:v>26</c:v>
                </c:pt>
                <c:pt idx="171">
                  <c:v>113</c:v>
                </c:pt>
                <c:pt idx="172">
                  <c:v>197</c:v>
                </c:pt>
                <c:pt idx="173">
                  <c:v>-2</c:v>
                </c:pt>
                <c:pt idx="174">
                  <c:v>16</c:v>
                </c:pt>
                <c:pt idx="175">
                  <c:v>58</c:v>
                </c:pt>
                <c:pt idx="176">
                  <c:v>-127</c:v>
                </c:pt>
                <c:pt idx="177">
                  <c:v>256</c:v>
                </c:pt>
                <c:pt idx="178">
                  <c:v>115</c:v>
                </c:pt>
                <c:pt idx="179">
                  <c:v>19</c:v>
                </c:pt>
                <c:pt idx="180">
                  <c:v>12</c:v>
                </c:pt>
                <c:pt idx="181">
                  <c:v>1</c:v>
                </c:pt>
                <c:pt idx="182">
                  <c:v>135</c:v>
                </c:pt>
                <c:pt idx="183">
                  <c:v>-219</c:v>
                </c:pt>
                <c:pt idx="184">
                  <c:v>-10</c:v>
                </c:pt>
                <c:pt idx="185">
                  <c:v>131</c:v>
                </c:pt>
                <c:pt idx="186">
                  <c:v>-49</c:v>
                </c:pt>
                <c:pt idx="187">
                  <c:v>54</c:v>
                </c:pt>
                <c:pt idx="188">
                  <c:v>3</c:v>
                </c:pt>
                <c:pt idx="189">
                  <c:v>-194</c:v>
                </c:pt>
                <c:pt idx="190">
                  <c:v>-130</c:v>
                </c:pt>
                <c:pt idx="191">
                  <c:v>43</c:v>
                </c:pt>
                <c:pt idx="192">
                  <c:v>392</c:v>
                </c:pt>
                <c:pt idx="193">
                  <c:v>421</c:v>
                </c:pt>
                <c:pt idx="194">
                  <c:v>106</c:v>
                </c:pt>
                <c:pt idx="195">
                  <c:v>-6</c:v>
                </c:pt>
                <c:pt idx="196">
                  <c:v>77</c:v>
                </c:pt>
                <c:pt idx="197">
                  <c:v>-41</c:v>
                </c:pt>
                <c:pt idx="198">
                  <c:v>25</c:v>
                </c:pt>
                <c:pt idx="199">
                  <c:v>-150</c:v>
                </c:pt>
                <c:pt idx="200">
                  <c:v>22</c:v>
                </c:pt>
                <c:pt idx="201">
                  <c:v>-148</c:v>
                </c:pt>
                <c:pt idx="202">
                  <c:v>155</c:v>
                </c:pt>
                <c:pt idx="203">
                  <c:v>85</c:v>
                </c:pt>
                <c:pt idx="204">
                  <c:v>132</c:v>
                </c:pt>
                <c:pt idx="205">
                  <c:v>-25</c:v>
                </c:pt>
                <c:pt idx="206">
                  <c:v>3</c:v>
                </c:pt>
                <c:pt idx="207">
                  <c:v>21</c:v>
                </c:pt>
                <c:pt idx="208">
                  <c:v>32</c:v>
                </c:pt>
                <c:pt idx="209">
                  <c:v>-78</c:v>
                </c:pt>
                <c:pt idx="210">
                  <c:v>286</c:v>
                </c:pt>
                <c:pt idx="211">
                  <c:v>22</c:v>
                </c:pt>
                <c:pt idx="212">
                  <c:v>-38</c:v>
                </c:pt>
                <c:pt idx="213">
                  <c:v>-18</c:v>
                </c:pt>
                <c:pt idx="214">
                  <c:v>-114</c:v>
                </c:pt>
                <c:pt idx="215">
                  <c:v>6</c:v>
                </c:pt>
                <c:pt idx="216">
                  <c:v>43</c:v>
                </c:pt>
                <c:pt idx="217">
                  <c:v>-190</c:v>
                </c:pt>
                <c:pt idx="218">
                  <c:v>-230</c:v>
                </c:pt>
                <c:pt idx="219">
                  <c:v>46</c:v>
                </c:pt>
                <c:pt idx="220">
                  <c:v>57</c:v>
                </c:pt>
                <c:pt idx="221">
                  <c:v>-79</c:v>
                </c:pt>
                <c:pt idx="222">
                  <c:v>-47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-31</c:v>
                </c:pt>
                <c:pt idx="238">
                  <c:v>77</c:v>
                </c:pt>
                <c:pt idx="239">
                  <c:v>-38</c:v>
                </c:pt>
                <c:pt idx="240">
                  <c:v>97</c:v>
                </c:pt>
                <c:pt idx="241">
                  <c:v>31</c:v>
                </c:pt>
                <c:pt idx="242">
                  <c:v>-286</c:v>
                </c:pt>
                <c:pt idx="243">
                  <c:v>111</c:v>
                </c:pt>
                <c:pt idx="244">
                  <c:v>183</c:v>
                </c:pt>
                <c:pt idx="245">
                  <c:v>-54</c:v>
                </c:pt>
                <c:pt idx="246">
                  <c:v>47</c:v>
                </c:pt>
                <c:pt idx="247">
                  <c:v>103</c:v>
                </c:pt>
                <c:pt idx="248">
                  <c:v>15</c:v>
                </c:pt>
                <c:pt idx="249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428800"/>
        <c:axId val="316686912"/>
      </c:barChart>
      <c:lineChart>
        <c:grouping val="stacked"/>
        <c:varyColors val="0"/>
        <c:ser>
          <c:idx val="1"/>
          <c:order val="1"/>
          <c:tx>
            <c:strRef>
              <c:f>'Ex1'!$L$2</c:f>
              <c:strCache>
                <c:ptCount val="1"/>
                <c:pt idx="0">
                  <c:v>累積損益</c:v>
                </c:pt>
              </c:strCache>
            </c:strRef>
          </c:tx>
          <c:marker>
            <c:symbol val="none"/>
          </c:marker>
          <c:val>
            <c:numRef>
              <c:f>'Ex1'!$L$53:$L$302</c:f>
              <c:numCache>
                <c:formatCode>"$"#,##0.00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82</c:v>
                </c:pt>
                <c:pt idx="9">
                  <c:v>-74</c:v>
                </c:pt>
                <c:pt idx="10">
                  <c:v>165</c:v>
                </c:pt>
                <c:pt idx="11">
                  <c:v>154</c:v>
                </c:pt>
                <c:pt idx="12">
                  <c:v>337</c:v>
                </c:pt>
                <c:pt idx="13">
                  <c:v>437</c:v>
                </c:pt>
                <c:pt idx="14">
                  <c:v>418</c:v>
                </c:pt>
                <c:pt idx="15">
                  <c:v>447</c:v>
                </c:pt>
                <c:pt idx="16">
                  <c:v>511</c:v>
                </c:pt>
                <c:pt idx="17">
                  <c:v>364</c:v>
                </c:pt>
                <c:pt idx="18">
                  <c:v>128</c:v>
                </c:pt>
                <c:pt idx="19">
                  <c:v>84</c:v>
                </c:pt>
                <c:pt idx="20">
                  <c:v>127</c:v>
                </c:pt>
                <c:pt idx="21">
                  <c:v>26</c:v>
                </c:pt>
                <c:pt idx="22">
                  <c:v>13</c:v>
                </c:pt>
                <c:pt idx="23">
                  <c:v>136</c:v>
                </c:pt>
                <c:pt idx="24">
                  <c:v>94</c:v>
                </c:pt>
                <c:pt idx="25">
                  <c:v>230</c:v>
                </c:pt>
                <c:pt idx="26">
                  <c:v>228</c:v>
                </c:pt>
                <c:pt idx="27">
                  <c:v>228</c:v>
                </c:pt>
                <c:pt idx="28">
                  <c:v>228</c:v>
                </c:pt>
                <c:pt idx="29">
                  <c:v>228</c:v>
                </c:pt>
                <c:pt idx="30">
                  <c:v>228</c:v>
                </c:pt>
                <c:pt idx="31">
                  <c:v>228</c:v>
                </c:pt>
                <c:pt idx="32">
                  <c:v>228</c:v>
                </c:pt>
                <c:pt idx="33">
                  <c:v>228</c:v>
                </c:pt>
                <c:pt idx="34">
                  <c:v>228</c:v>
                </c:pt>
                <c:pt idx="35">
                  <c:v>228</c:v>
                </c:pt>
                <c:pt idx="36">
                  <c:v>228</c:v>
                </c:pt>
                <c:pt idx="37">
                  <c:v>228</c:v>
                </c:pt>
                <c:pt idx="38">
                  <c:v>228</c:v>
                </c:pt>
                <c:pt idx="39">
                  <c:v>228</c:v>
                </c:pt>
                <c:pt idx="40">
                  <c:v>228</c:v>
                </c:pt>
                <c:pt idx="41">
                  <c:v>228</c:v>
                </c:pt>
                <c:pt idx="42">
                  <c:v>228</c:v>
                </c:pt>
                <c:pt idx="43">
                  <c:v>228</c:v>
                </c:pt>
                <c:pt idx="44">
                  <c:v>228</c:v>
                </c:pt>
                <c:pt idx="45">
                  <c:v>228</c:v>
                </c:pt>
                <c:pt idx="46">
                  <c:v>228</c:v>
                </c:pt>
                <c:pt idx="47">
                  <c:v>228</c:v>
                </c:pt>
                <c:pt idx="48">
                  <c:v>228</c:v>
                </c:pt>
                <c:pt idx="49">
                  <c:v>228</c:v>
                </c:pt>
                <c:pt idx="50">
                  <c:v>228</c:v>
                </c:pt>
                <c:pt idx="51">
                  <c:v>228</c:v>
                </c:pt>
                <c:pt idx="52">
                  <c:v>228</c:v>
                </c:pt>
                <c:pt idx="53">
                  <c:v>228</c:v>
                </c:pt>
                <c:pt idx="54">
                  <c:v>228</c:v>
                </c:pt>
                <c:pt idx="55">
                  <c:v>228</c:v>
                </c:pt>
                <c:pt idx="56">
                  <c:v>228</c:v>
                </c:pt>
                <c:pt idx="57">
                  <c:v>228</c:v>
                </c:pt>
                <c:pt idx="58">
                  <c:v>228</c:v>
                </c:pt>
                <c:pt idx="59">
                  <c:v>228</c:v>
                </c:pt>
                <c:pt idx="60">
                  <c:v>228</c:v>
                </c:pt>
                <c:pt idx="61">
                  <c:v>228</c:v>
                </c:pt>
                <c:pt idx="62">
                  <c:v>228</c:v>
                </c:pt>
                <c:pt idx="63">
                  <c:v>228</c:v>
                </c:pt>
                <c:pt idx="64">
                  <c:v>228</c:v>
                </c:pt>
                <c:pt idx="65">
                  <c:v>228</c:v>
                </c:pt>
                <c:pt idx="66">
                  <c:v>228</c:v>
                </c:pt>
                <c:pt idx="67">
                  <c:v>623</c:v>
                </c:pt>
                <c:pt idx="68">
                  <c:v>595</c:v>
                </c:pt>
                <c:pt idx="69">
                  <c:v>1119</c:v>
                </c:pt>
                <c:pt idx="70">
                  <c:v>1619</c:v>
                </c:pt>
                <c:pt idx="71">
                  <c:v>1915</c:v>
                </c:pt>
                <c:pt idx="72">
                  <c:v>1887</c:v>
                </c:pt>
                <c:pt idx="73">
                  <c:v>1731</c:v>
                </c:pt>
                <c:pt idx="74">
                  <c:v>1045</c:v>
                </c:pt>
                <c:pt idx="75">
                  <c:v>1197</c:v>
                </c:pt>
                <c:pt idx="76">
                  <c:v>1195</c:v>
                </c:pt>
                <c:pt idx="77">
                  <c:v>879</c:v>
                </c:pt>
                <c:pt idx="78">
                  <c:v>973</c:v>
                </c:pt>
                <c:pt idx="79">
                  <c:v>501</c:v>
                </c:pt>
                <c:pt idx="80">
                  <c:v>691</c:v>
                </c:pt>
                <c:pt idx="81">
                  <c:v>645</c:v>
                </c:pt>
                <c:pt idx="82">
                  <c:v>419</c:v>
                </c:pt>
                <c:pt idx="83">
                  <c:v>191</c:v>
                </c:pt>
                <c:pt idx="84">
                  <c:v>-55</c:v>
                </c:pt>
                <c:pt idx="85">
                  <c:v>163</c:v>
                </c:pt>
                <c:pt idx="86">
                  <c:v>87</c:v>
                </c:pt>
                <c:pt idx="87">
                  <c:v>241</c:v>
                </c:pt>
                <c:pt idx="88">
                  <c:v>251</c:v>
                </c:pt>
                <c:pt idx="89">
                  <c:v>472</c:v>
                </c:pt>
                <c:pt idx="90">
                  <c:v>502</c:v>
                </c:pt>
                <c:pt idx="91">
                  <c:v>543</c:v>
                </c:pt>
                <c:pt idx="92">
                  <c:v>282</c:v>
                </c:pt>
                <c:pt idx="93">
                  <c:v>230</c:v>
                </c:pt>
                <c:pt idx="94">
                  <c:v>181</c:v>
                </c:pt>
                <c:pt idx="95">
                  <c:v>221</c:v>
                </c:pt>
                <c:pt idx="96">
                  <c:v>513</c:v>
                </c:pt>
                <c:pt idx="97">
                  <c:v>467</c:v>
                </c:pt>
                <c:pt idx="98">
                  <c:v>929</c:v>
                </c:pt>
                <c:pt idx="99">
                  <c:v>879</c:v>
                </c:pt>
                <c:pt idx="100">
                  <c:v>397</c:v>
                </c:pt>
                <c:pt idx="101">
                  <c:v>767</c:v>
                </c:pt>
                <c:pt idx="102">
                  <c:v>717</c:v>
                </c:pt>
                <c:pt idx="103">
                  <c:v>793</c:v>
                </c:pt>
                <c:pt idx="104">
                  <c:v>945</c:v>
                </c:pt>
                <c:pt idx="105">
                  <c:v>907</c:v>
                </c:pt>
                <c:pt idx="106">
                  <c:v>605</c:v>
                </c:pt>
                <c:pt idx="107">
                  <c:v>245</c:v>
                </c:pt>
                <c:pt idx="108">
                  <c:v>305</c:v>
                </c:pt>
                <c:pt idx="109">
                  <c:v>357</c:v>
                </c:pt>
                <c:pt idx="110">
                  <c:v>303</c:v>
                </c:pt>
                <c:pt idx="111">
                  <c:v>319</c:v>
                </c:pt>
                <c:pt idx="112">
                  <c:v>677</c:v>
                </c:pt>
                <c:pt idx="113">
                  <c:v>627</c:v>
                </c:pt>
                <c:pt idx="114">
                  <c:v>887</c:v>
                </c:pt>
                <c:pt idx="115">
                  <c:v>952</c:v>
                </c:pt>
                <c:pt idx="116">
                  <c:v>998</c:v>
                </c:pt>
                <c:pt idx="117">
                  <c:v>698</c:v>
                </c:pt>
                <c:pt idx="118">
                  <c:v>667</c:v>
                </c:pt>
                <c:pt idx="119">
                  <c:v>620</c:v>
                </c:pt>
                <c:pt idx="120">
                  <c:v>675</c:v>
                </c:pt>
                <c:pt idx="121">
                  <c:v>921</c:v>
                </c:pt>
                <c:pt idx="122">
                  <c:v>905</c:v>
                </c:pt>
                <c:pt idx="123">
                  <c:v>363</c:v>
                </c:pt>
                <c:pt idx="124">
                  <c:v>531</c:v>
                </c:pt>
                <c:pt idx="125">
                  <c:v>564</c:v>
                </c:pt>
                <c:pt idx="126">
                  <c:v>572</c:v>
                </c:pt>
                <c:pt idx="127">
                  <c:v>455</c:v>
                </c:pt>
                <c:pt idx="128">
                  <c:v>347</c:v>
                </c:pt>
                <c:pt idx="129">
                  <c:v>376</c:v>
                </c:pt>
                <c:pt idx="130">
                  <c:v>490</c:v>
                </c:pt>
                <c:pt idx="131">
                  <c:v>566</c:v>
                </c:pt>
                <c:pt idx="132">
                  <c:v>485</c:v>
                </c:pt>
                <c:pt idx="133">
                  <c:v>658</c:v>
                </c:pt>
                <c:pt idx="134">
                  <c:v>671</c:v>
                </c:pt>
                <c:pt idx="135">
                  <c:v>712</c:v>
                </c:pt>
                <c:pt idx="136">
                  <c:v>773</c:v>
                </c:pt>
                <c:pt idx="137">
                  <c:v>660</c:v>
                </c:pt>
                <c:pt idx="138">
                  <c:v>786</c:v>
                </c:pt>
                <c:pt idx="139">
                  <c:v>796</c:v>
                </c:pt>
                <c:pt idx="140">
                  <c:v>634</c:v>
                </c:pt>
                <c:pt idx="141">
                  <c:v>498</c:v>
                </c:pt>
                <c:pt idx="142">
                  <c:v>582</c:v>
                </c:pt>
                <c:pt idx="143">
                  <c:v>372</c:v>
                </c:pt>
                <c:pt idx="144">
                  <c:v>498</c:v>
                </c:pt>
                <c:pt idx="145">
                  <c:v>408</c:v>
                </c:pt>
                <c:pt idx="146">
                  <c:v>578</c:v>
                </c:pt>
                <c:pt idx="147">
                  <c:v>600</c:v>
                </c:pt>
                <c:pt idx="148">
                  <c:v>666</c:v>
                </c:pt>
                <c:pt idx="149">
                  <c:v>308</c:v>
                </c:pt>
                <c:pt idx="150">
                  <c:v>283</c:v>
                </c:pt>
                <c:pt idx="151">
                  <c:v>427</c:v>
                </c:pt>
                <c:pt idx="152">
                  <c:v>511</c:v>
                </c:pt>
                <c:pt idx="153">
                  <c:v>544</c:v>
                </c:pt>
                <c:pt idx="154">
                  <c:v>540</c:v>
                </c:pt>
                <c:pt idx="155">
                  <c:v>627</c:v>
                </c:pt>
                <c:pt idx="156">
                  <c:v>831</c:v>
                </c:pt>
                <c:pt idx="157">
                  <c:v>811</c:v>
                </c:pt>
                <c:pt idx="158">
                  <c:v>1115</c:v>
                </c:pt>
                <c:pt idx="159">
                  <c:v>1239</c:v>
                </c:pt>
                <c:pt idx="160">
                  <c:v>1429</c:v>
                </c:pt>
                <c:pt idx="161">
                  <c:v>1387</c:v>
                </c:pt>
                <c:pt idx="162">
                  <c:v>1340</c:v>
                </c:pt>
                <c:pt idx="163">
                  <c:v>1310</c:v>
                </c:pt>
                <c:pt idx="164">
                  <c:v>1491</c:v>
                </c:pt>
                <c:pt idx="165">
                  <c:v>1622</c:v>
                </c:pt>
                <c:pt idx="166">
                  <c:v>1720</c:v>
                </c:pt>
                <c:pt idx="167">
                  <c:v>1745</c:v>
                </c:pt>
                <c:pt idx="168">
                  <c:v>1713</c:v>
                </c:pt>
                <c:pt idx="169">
                  <c:v>1535</c:v>
                </c:pt>
                <c:pt idx="170">
                  <c:v>1561</c:v>
                </c:pt>
                <c:pt idx="171">
                  <c:v>1674</c:v>
                </c:pt>
                <c:pt idx="172">
                  <c:v>1871</c:v>
                </c:pt>
                <c:pt idx="173">
                  <c:v>1869</c:v>
                </c:pt>
                <c:pt idx="174">
                  <c:v>1885</c:v>
                </c:pt>
                <c:pt idx="175">
                  <c:v>1943</c:v>
                </c:pt>
                <c:pt idx="176">
                  <c:v>1816</c:v>
                </c:pt>
                <c:pt idx="177">
                  <c:v>2072</c:v>
                </c:pt>
                <c:pt idx="178">
                  <c:v>2187</c:v>
                </c:pt>
                <c:pt idx="179">
                  <c:v>2206</c:v>
                </c:pt>
                <c:pt idx="180">
                  <c:v>2218</c:v>
                </c:pt>
                <c:pt idx="181">
                  <c:v>2219</c:v>
                </c:pt>
                <c:pt idx="182">
                  <c:v>2354</c:v>
                </c:pt>
                <c:pt idx="183">
                  <c:v>2135</c:v>
                </c:pt>
                <c:pt idx="184">
                  <c:v>2125</c:v>
                </c:pt>
                <c:pt idx="185">
                  <c:v>2256</c:v>
                </c:pt>
                <c:pt idx="186">
                  <c:v>2207</c:v>
                </c:pt>
                <c:pt idx="187">
                  <c:v>2261</c:v>
                </c:pt>
                <c:pt idx="188">
                  <c:v>2264</c:v>
                </c:pt>
                <c:pt idx="189">
                  <c:v>2070</c:v>
                </c:pt>
                <c:pt idx="190">
                  <c:v>1940</c:v>
                </c:pt>
                <c:pt idx="191">
                  <c:v>1983</c:v>
                </c:pt>
                <c:pt idx="192">
                  <c:v>2375</c:v>
                </c:pt>
                <c:pt idx="193">
                  <c:v>2796</c:v>
                </c:pt>
                <c:pt idx="194">
                  <c:v>2902</c:v>
                </c:pt>
                <c:pt idx="195">
                  <c:v>2896</c:v>
                </c:pt>
                <c:pt idx="196">
                  <c:v>2973</c:v>
                </c:pt>
                <c:pt idx="197">
                  <c:v>2932</c:v>
                </c:pt>
                <c:pt idx="198">
                  <c:v>2957</c:v>
                </c:pt>
                <c:pt idx="199">
                  <c:v>2807</c:v>
                </c:pt>
                <c:pt idx="200">
                  <c:v>2829</c:v>
                </c:pt>
                <c:pt idx="201">
                  <c:v>2681</c:v>
                </c:pt>
                <c:pt idx="202">
                  <c:v>2836</c:v>
                </c:pt>
                <c:pt idx="203">
                  <c:v>2921</c:v>
                </c:pt>
                <c:pt idx="204">
                  <c:v>3053</c:v>
                </c:pt>
                <c:pt idx="205">
                  <c:v>3028</c:v>
                </c:pt>
                <c:pt idx="206">
                  <c:v>3031</c:v>
                </c:pt>
                <c:pt idx="207">
                  <c:v>3052</c:v>
                </c:pt>
                <c:pt idx="208">
                  <c:v>3084</c:v>
                </c:pt>
                <c:pt idx="209">
                  <c:v>3006</c:v>
                </c:pt>
                <c:pt idx="210">
                  <c:v>3292</c:v>
                </c:pt>
                <c:pt idx="211">
                  <c:v>3314</c:v>
                </c:pt>
                <c:pt idx="212">
                  <c:v>3276</c:v>
                </c:pt>
                <c:pt idx="213">
                  <c:v>3258</c:v>
                </c:pt>
                <c:pt idx="214">
                  <c:v>3144</c:v>
                </c:pt>
                <c:pt idx="215">
                  <c:v>3150</c:v>
                </c:pt>
                <c:pt idx="216">
                  <c:v>3193</c:v>
                </c:pt>
                <c:pt idx="217">
                  <c:v>3003</c:v>
                </c:pt>
                <c:pt idx="218">
                  <c:v>2773</c:v>
                </c:pt>
                <c:pt idx="219">
                  <c:v>2819</c:v>
                </c:pt>
                <c:pt idx="220">
                  <c:v>2876</c:v>
                </c:pt>
                <c:pt idx="221">
                  <c:v>2797</c:v>
                </c:pt>
                <c:pt idx="222">
                  <c:v>2750</c:v>
                </c:pt>
                <c:pt idx="223">
                  <c:v>2750</c:v>
                </c:pt>
                <c:pt idx="224">
                  <c:v>2750</c:v>
                </c:pt>
                <c:pt idx="225">
                  <c:v>2750</c:v>
                </c:pt>
                <c:pt idx="226">
                  <c:v>2750</c:v>
                </c:pt>
                <c:pt idx="227">
                  <c:v>2750</c:v>
                </c:pt>
                <c:pt idx="228">
                  <c:v>2750</c:v>
                </c:pt>
                <c:pt idx="229">
                  <c:v>2750</c:v>
                </c:pt>
                <c:pt idx="230">
                  <c:v>2750</c:v>
                </c:pt>
                <c:pt idx="231">
                  <c:v>2750</c:v>
                </c:pt>
                <c:pt idx="232">
                  <c:v>2750</c:v>
                </c:pt>
                <c:pt idx="233">
                  <c:v>2750</c:v>
                </c:pt>
                <c:pt idx="234">
                  <c:v>2750</c:v>
                </c:pt>
                <c:pt idx="235">
                  <c:v>2750</c:v>
                </c:pt>
                <c:pt idx="236">
                  <c:v>2750</c:v>
                </c:pt>
                <c:pt idx="237">
                  <c:v>2719</c:v>
                </c:pt>
                <c:pt idx="238">
                  <c:v>2796</c:v>
                </c:pt>
                <c:pt idx="239">
                  <c:v>2758</c:v>
                </c:pt>
                <c:pt idx="240">
                  <c:v>2855</c:v>
                </c:pt>
                <c:pt idx="241">
                  <c:v>2886</c:v>
                </c:pt>
                <c:pt idx="242">
                  <c:v>2600</c:v>
                </c:pt>
                <c:pt idx="243">
                  <c:v>2711</c:v>
                </c:pt>
                <c:pt idx="244">
                  <c:v>2894</c:v>
                </c:pt>
                <c:pt idx="245">
                  <c:v>2840</c:v>
                </c:pt>
                <c:pt idx="246">
                  <c:v>2887</c:v>
                </c:pt>
                <c:pt idx="247">
                  <c:v>2990</c:v>
                </c:pt>
                <c:pt idx="248">
                  <c:v>3005</c:v>
                </c:pt>
                <c:pt idx="249">
                  <c:v>3016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120000"/>
        <c:axId val="316686336"/>
      </c:lineChart>
      <c:catAx>
        <c:axId val="317120000"/>
        <c:scaling>
          <c:orientation val="minMax"/>
        </c:scaling>
        <c:delete val="0"/>
        <c:axPos val="b"/>
        <c:majorTickMark val="out"/>
        <c:minorTickMark val="none"/>
        <c:tickLblPos val="nextTo"/>
        <c:crossAx val="316686336"/>
        <c:crosses val="autoZero"/>
        <c:auto val="1"/>
        <c:lblAlgn val="ctr"/>
        <c:lblOffset val="100"/>
        <c:noMultiLvlLbl val="0"/>
      </c:catAx>
      <c:valAx>
        <c:axId val="316686336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317120000"/>
        <c:crosses val="autoZero"/>
        <c:crossBetween val="between"/>
      </c:valAx>
      <c:valAx>
        <c:axId val="316686912"/>
        <c:scaling>
          <c:orientation val="minMax"/>
        </c:scaling>
        <c:delete val="0"/>
        <c:axPos val="r"/>
        <c:numFmt formatCode="0.0000_ " sourceLinked="1"/>
        <c:majorTickMark val="out"/>
        <c:minorTickMark val="none"/>
        <c:tickLblPos val="nextTo"/>
        <c:crossAx val="316428800"/>
        <c:crosses val="max"/>
        <c:crossBetween val="between"/>
      </c:valAx>
      <c:catAx>
        <c:axId val="316428800"/>
        <c:scaling>
          <c:orientation val="minMax"/>
        </c:scaling>
        <c:delete val="1"/>
        <c:axPos val="b"/>
        <c:majorTickMark val="out"/>
        <c:minorTickMark val="none"/>
        <c:tickLblPos val="none"/>
        <c:crossAx val="316686912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'Ex1'!$U$53:$U$67</c:f>
              <c:numCache>
                <c:formatCode>General</c:formatCode>
                <c:ptCount val="15"/>
                <c:pt idx="0">
                  <c:v>2359</c:v>
                </c:pt>
                <c:pt idx="1">
                  <c:v>2404</c:v>
                </c:pt>
                <c:pt idx="2">
                  <c:v>2832</c:v>
                </c:pt>
                <c:pt idx="3">
                  <c:v>2709</c:v>
                </c:pt>
                <c:pt idx="4">
                  <c:v>3115</c:v>
                </c:pt>
                <c:pt idx="5">
                  <c:v>3016</c:v>
                </c:pt>
                <c:pt idx="6">
                  <c:v>2351</c:v>
                </c:pt>
                <c:pt idx="7">
                  <c:v>2584</c:v>
                </c:pt>
                <c:pt idx="8">
                  <c:v>2559</c:v>
                </c:pt>
                <c:pt idx="9">
                  <c:v>2454</c:v>
                </c:pt>
                <c:pt idx="10">
                  <c:v>2620</c:v>
                </c:pt>
                <c:pt idx="11">
                  <c:v>2041</c:v>
                </c:pt>
                <c:pt idx="12">
                  <c:v>1814</c:v>
                </c:pt>
                <c:pt idx="13">
                  <c:v>1870</c:v>
                </c:pt>
                <c:pt idx="14">
                  <c:v>1509</c:v>
                </c:pt>
              </c:numCache>
            </c:numRef>
          </c:val>
        </c:ser>
        <c:ser>
          <c:idx val="1"/>
          <c:order val="1"/>
          <c:val>
            <c:numRef>
              <c:f>'Ex1'!$V$53:$V$67</c:f>
              <c:numCache>
                <c:formatCode>General</c:formatCode>
                <c:ptCount val="15"/>
                <c:pt idx="0">
                  <c:v>2432</c:v>
                </c:pt>
                <c:pt idx="1">
                  <c:v>2129</c:v>
                </c:pt>
                <c:pt idx="2">
                  <c:v>2879</c:v>
                </c:pt>
                <c:pt idx="3">
                  <c:v>2656</c:v>
                </c:pt>
                <c:pt idx="4">
                  <c:v>3206</c:v>
                </c:pt>
                <c:pt idx="5">
                  <c:v>2865</c:v>
                </c:pt>
                <c:pt idx="6">
                  <c:v>2402</c:v>
                </c:pt>
                <c:pt idx="7">
                  <c:v>2561</c:v>
                </c:pt>
                <c:pt idx="8">
                  <c:v>2168</c:v>
                </c:pt>
                <c:pt idx="9">
                  <c:v>2335</c:v>
                </c:pt>
                <c:pt idx="10">
                  <c:v>2448</c:v>
                </c:pt>
                <c:pt idx="11">
                  <c:v>1949</c:v>
                </c:pt>
                <c:pt idx="12">
                  <c:v>1786</c:v>
                </c:pt>
                <c:pt idx="13">
                  <c:v>1885</c:v>
                </c:pt>
                <c:pt idx="14">
                  <c:v>1975</c:v>
                </c:pt>
              </c:numCache>
            </c:numRef>
          </c:val>
        </c:ser>
        <c:ser>
          <c:idx val="2"/>
          <c:order val="2"/>
          <c:val>
            <c:numRef>
              <c:f>'Ex1'!$W$53:$W$67</c:f>
              <c:numCache>
                <c:formatCode>General</c:formatCode>
                <c:ptCount val="15"/>
                <c:pt idx="0">
                  <c:v>2400</c:v>
                </c:pt>
                <c:pt idx="1">
                  <c:v>2176</c:v>
                </c:pt>
                <c:pt idx="2">
                  <c:v>2125</c:v>
                </c:pt>
                <c:pt idx="3">
                  <c:v>2701</c:v>
                </c:pt>
                <c:pt idx="4">
                  <c:v>2911</c:v>
                </c:pt>
                <c:pt idx="5">
                  <c:v>2959</c:v>
                </c:pt>
                <c:pt idx="6">
                  <c:v>2882</c:v>
                </c:pt>
                <c:pt idx="7">
                  <c:v>2497</c:v>
                </c:pt>
                <c:pt idx="8">
                  <c:v>1896</c:v>
                </c:pt>
                <c:pt idx="9">
                  <c:v>2221</c:v>
                </c:pt>
                <c:pt idx="10">
                  <c:v>2309</c:v>
                </c:pt>
                <c:pt idx="11">
                  <c:v>1958</c:v>
                </c:pt>
                <c:pt idx="12">
                  <c:v>1721</c:v>
                </c:pt>
                <c:pt idx="13">
                  <c:v>1821</c:v>
                </c:pt>
                <c:pt idx="14">
                  <c:v>1794</c:v>
                </c:pt>
              </c:numCache>
            </c:numRef>
          </c:val>
        </c:ser>
        <c:ser>
          <c:idx val="3"/>
          <c:order val="3"/>
          <c:val>
            <c:numRef>
              <c:f>'Ex1'!$X$53:$X$67</c:f>
              <c:numCache>
                <c:formatCode>General</c:formatCode>
                <c:ptCount val="15"/>
                <c:pt idx="0">
                  <c:v>2269</c:v>
                </c:pt>
                <c:pt idx="1">
                  <c:v>2416</c:v>
                </c:pt>
                <c:pt idx="2">
                  <c:v>2499</c:v>
                </c:pt>
                <c:pt idx="3">
                  <c:v>2760</c:v>
                </c:pt>
                <c:pt idx="4">
                  <c:v>2906</c:v>
                </c:pt>
                <c:pt idx="5">
                  <c:v>2893</c:v>
                </c:pt>
                <c:pt idx="6">
                  <c:v>2805</c:v>
                </c:pt>
                <c:pt idx="7">
                  <c:v>2445</c:v>
                </c:pt>
                <c:pt idx="8">
                  <c:v>2184</c:v>
                </c:pt>
                <c:pt idx="9">
                  <c:v>2367</c:v>
                </c:pt>
                <c:pt idx="10">
                  <c:v>1709</c:v>
                </c:pt>
                <c:pt idx="11">
                  <c:v>1887</c:v>
                </c:pt>
                <c:pt idx="12">
                  <c:v>2067</c:v>
                </c:pt>
                <c:pt idx="13">
                  <c:v>1584</c:v>
                </c:pt>
                <c:pt idx="14">
                  <c:v>1595</c:v>
                </c:pt>
              </c:numCache>
            </c:numRef>
          </c:val>
        </c:ser>
        <c:ser>
          <c:idx val="4"/>
          <c:order val="4"/>
          <c:val>
            <c:numRef>
              <c:f>'Ex1'!$Y$53:$Y$67</c:f>
              <c:numCache>
                <c:formatCode>General</c:formatCode>
                <c:ptCount val="15"/>
                <c:pt idx="0">
                  <c:v>2221</c:v>
                </c:pt>
                <c:pt idx="1">
                  <c:v>2652</c:v>
                </c:pt>
                <c:pt idx="2">
                  <c:v>2879</c:v>
                </c:pt>
                <c:pt idx="3">
                  <c:v>2462</c:v>
                </c:pt>
                <c:pt idx="4">
                  <c:v>2807</c:v>
                </c:pt>
                <c:pt idx="5">
                  <c:v>2587</c:v>
                </c:pt>
                <c:pt idx="6">
                  <c:v>3329</c:v>
                </c:pt>
                <c:pt idx="7">
                  <c:v>2738</c:v>
                </c:pt>
                <c:pt idx="8">
                  <c:v>2315</c:v>
                </c:pt>
                <c:pt idx="9">
                  <c:v>2246</c:v>
                </c:pt>
                <c:pt idx="10">
                  <c:v>1920</c:v>
                </c:pt>
                <c:pt idx="11">
                  <c:v>1863</c:v>
                </c:pt>
                <c:pt idx="12">
                  <c:v>1796</c:v>
                </c:pt>
                <c:pt idx="13">
                  <c:v>1811</c:v>
                </c:pt>
                <c:pt idx="14">
                  <c:v>1750</c:v>
                </c:pt>
              </c:numCache>
            </c:numRef>
          </c:val>
        </c:ser>
        <c:ser>
          <c:idx val="5"/>
          <c:order val="5"/>
          <c:val>
            <c:numRef>
              <c:f>'Ex1'!$Z$53:$Z$67</c:f>
              <c:numCache>
                <c:formatCode>General</c:formatCode>
                <c:ptCount val="15"/>
                <c:pt idx="0">
                  <c:v>2569</c:v>
                </c:pt>
                <c:pt idx="1">
                  <c:v>2734</c:v>
                </c:pt>
                <c:pt idx="2">
                  <c:v>3270</c:v>
                </c:pt>
                <c:pt idx="3">
                  <c:v>2670</c:v>
                </c:pt>
                <c:pt idx="4">
                  <c:v>2737</c:v>
                </c:pt>
                <c:pt idx="5">
                  <c:v>2719</c:v>
                </c:pt>
                <c:pt idx="6">
                  <c:v>3183</c:v>
                </c:pt>
                <c:pt idx="7">
                  <c:v>3254</c:v>
                </c:pt>
                <c:pt idx="8">
                  <c:v>2936</c:v>
                </c:pt>
                <c:pt idx="9">
                  <c:v>1835</c:v>
                </c:pt>
                <c:pt idx="10">
                  <c:v>1881</c:v>
                </c:pt>
                <c:pt idx="11">
                  <c:v>1845</c:v>
                </c:pt>
                <c:pt idx="12">
                  <c:v>1803</c:v>
                </c:pt>
                <c:pt idx="13">
                  <c:v>1610</c:v>
                </c:pt>
                <c:pt idx="14">
                  <c:v>2111</c:v>
                </c:pt>
              </c:numCache>
            </c:numRef>
          </c:val>
        </c:ser>
        <c:ser>
          <c:idx val="6"/>
          <c:order val="6"/>
          <c:val>
            <c:numRef>
              <c:f>'Ex1'!$AA$53:$AA$67</c:f>
              <c:numCache>
                <c:formatCode>General</c:formatCode>
                <c:ptCount val="15"/>
                <c:pt idx="0">
                  <c:v>2546</c:v>
                </c:pt>
                <c:pt idx="1">
                  <c:v>2912</c:v>
                </c:pt>
                <c:pt idx="2">
                  <c:v>3180</c:v>
                </c:pt>
                <c:pt idx="3">
                  <c:v>2673</c:v>
                </c:pt>
                <c:pt idx="4">
                  <c:v>2725</c:v>
                </c:pt>
                <c:pt idx="5">
                  <c:v>2551</c:v>
                </c:pt>
                <c:pt idx="6">
                  <c:v>3352</c:v>
                </c:pt>
                <c:pt idx="7">
                  <c:v>3339</c:v>
                </c:pt>
                <c:pt idx="8">
                  <c:v>3150</c:v>
                </c:pt>
                <c:pt idx="9">
                  <c:v>2531</c:v>
                </c:pt>
                <c:pt idx="10">
                  <c:v>2370</c:v>
                </c:pt>
                <c:pt idx="11">
                  <c:v>2213</c:v>
                </c:pt>
                <c:pt idx="12">
                  <c:v>2286</c:v>
                </c:pt>
                <c:pt idx="13">
                  <c:v>1858</c:v>
                </c:pt>
                <c:pt idx="14">
                  <c:v>2289</c:v>
                </c:pt>
              </c:numCache>
            </c:numRef>
          </c:val>
        </c:ser>
        <c:ser>
          <c:idx val="7"/>
          <c:order val="7"/>
          <c:val>
            <c:numRef>
              <c:f>'Ex1'!$AB$53:$AB$67</c:f>
              <c:numCache>
                <c:formatCode>General</c:formatCode>
                <c:ptCount val="15"/>
                <c:pt idx="0">
                  <c:v>2640</c:v>
                </c:pt>
                <c:pt idx="1">
                  <c:v>2943</c:v>
                </c:pt>
                <c:pt idx="2">
                  <c:v>3012</c:v>
                </c:pt>
                <c:pt idx="3">
                  <c:v>2703</c:v>
                </c:pt>
                <c:pt idx="4">
                  <c:v>2612</c:v>
                </c:pt>
                <c:pt idx="5">
                  <c:v>2763</c:v>
                </c:pt>
                <c:pt idx="6">
                  <c:v>3213</c:v>
                </c:pt>
                <c:pt idx="7">
                  <c:v>3087</c:v>
                </c:pt>
                <c:pt idx="8">
                  <c:v>2715</c:v>
                </c:pt>
                <c:pt idx="9">
                  <c:v>2531</c:v>
                </c:pt>
                <c:pt idx="10">
                  <c:v>2515</c:v>
                </c:pt>
                <c:pt idx="11">
                  <c:v>2286</c:v>
                </c:pt>
                <c:pt idx="12">
                  <c:v>2696</c:v>
                </c:pt>
                <c:pt idx="13">
                  <c:v>2370</c:v>
                </c:pt>
                <c:pt idx="14">
                  <c:v>1737</c:v>
                </c:pt>
              </c:numCache>
            </c:numRef>
          </c:val>
        </c:ser>
        <c:ser>
          <c:idx val="8"/>
          <c:order val="8"/>
          <c:val>
            <c:numRef>
              <c:f>'Ex1'!$AC$53:$AC$67</c:f>
              <c:numCache>
                <c:formatCode>General</c:formatCode>
                <c:ptCount val="15"/>
                <c:pt idx="0">
                  <c:v>2797</c:v>
                </c:pt>
                <c:pt idx="1">
                  <c:v>3096</c:v>
                </c:pt>
                <c:pt idx="2">
                  <c:v>2979</c:v>
                </c:pt>
                <c:pt idx="3">
                  <c:v>2781</c:v>
                </c:pt>
                <c:pt idx="4">
                  <c:v>2564</c:v>
                </c:pt>
                <c:pt idx="5">
                  <c:v>2757</c:v>
                </c:pt>
                <c:pt idx="6">
                  <c:v>2913</c:v>
                </c:pt>
                <c:pt idx="7">
                  <c:v>2766</c:v>
                </c:pt>
                <c:pt idx="8">
                  <c:v>2557</c:v>
                </c:pt>
                <c:pt idx="9">
                  <c:v>2502</c:v>
                </c:pt>
                <c:pt idx="10">
                  <c:v>2515</c:v>
                </c:pt>
                <c:pt idx="11">
                  <c:v>2802</c:v>
                </c:pt>
                <c:pt idx="12">
                  <c:v>2696</c:v>
                </c:pt>
                <c:pt idx="13">
                  <c:v>1990</c:v>
                </c:pt>
                <c:pt idx="14">
                  <c:v>2085</c:v>
                </c:pt>
              </c:numCache>
            </c:numRef>
          </c:val>
        </c:ser>
        <c:ser>
          <c:idx val="9"/>
          <c:order val="9"/>
          <c:val>
            <c:numRef>
              <c:f>'Ex1'!$AD$53:$AD$67</c:f>
              <c:numCache>
                <c:formatCode>General</c:formatCode>
                <c:ptCount val="15"/>
                <c:pt idx="0">
                  <c:v>2926</c:v>
                </c:pt>
                <c:pt idx="1">
                  <c:v>3243</c:v>
                </c:pt>
                <c:pt idx="2">
                  <c:v>2816</c:v>
                </c:pt>
                <c:pt idx="3">
                  <c:v>2781</c:v>
                </c:pt>
                <c:pt idx="4">
                  <c:v>2709</c:v>
                </c:pt>
                <c:pt idx="5">
                  <c:v>2810</c:v>
                </c:pt>
                <c:pt idx="6">
                  <c:v>2944</c:v>
                </c:pt>
                <c:pt idx="7">
                  <c:v>2679</c:v>
                </c:pt>
                <c:pt idx="8">
                  <c:v>2588</c:v>
                </c:pt>
                <c:pt idx="9">
                  <c:v>2471</c:v>
                </c:pt>
                <c:pt idx="10">
                  <c:v>2644</c:v>
                </c:pt>
                <c:pt idx="11">
                  <c:v>2802</c:v>
                </c:pt>
                <c:pt idx="12">
                  <c:v>2230</c:v>
                </c:pt>
                <c:pt idx="13">
                  <c:v>2208</c:v>
                </c:pt>
                <c:pt idx="14">
                  <c:v>1685</c:v>
                </c:pt>
              </c:numCache>
            </c:numRef>
          </c:val>
        </c:ser>
        <c:bandFmts/>
        <c:axId val="316430336"/>
        <c:axId val="316688640"/>
        <c:axId val="316336640"/>
      </c:surface3DChart>
      <c:catAx>
        <c:axId val="316430336"/>
        <c:scaling>
          <c:orientation val="minMax"/>
        </c:scaling>
        <c:delete val="0"/>
        <c:axPos val="b"/>
        <c:majorTickMark val="out"/>
        <c:minorTickMark val="none"/>
        <c:tickLblPos val="nextTo"/>
        <c:crossAx val="316688640"/>
        <c:crosses val="autoZero"/>
        <c:auto val="1"/>
        <c:lblAlgn val="ctr"/>
        <c:lblOffset val="100"/>
        <c:noMultiLvlLbl val="0"/>
      </c:catAx>
      <c:valAx>
        <c:axId val="31668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6430336"/>
        <c:crosses val="autoZero"/>
        <c:crossBetween val="midCat"/>
      </c:valAx>
      <c:serAx>
        <c:axId val="316336640"/>
        <c:scaling>
          <c:orientation val="minMax"/>
        </c:scaling>
        <c:delete val="0"/>
        <c:axPos val="b"/>
        <c:majorTickMark val="out"/>
        <c:minorTickMark val="none"/>
        <c:tickLblPos val="nextTo"/>
        <c:crossAx val="316688640"/>
        <c:crosses val="autoZero"/>
      </c:serAx>
    </c:plotArea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206375</xdr:colOff>
      <xdr:row>0</xdr:row>
      <xdr:rowOff>98914</xdr:rowOff>
    </xdr:from>
    <xdr:to>
      <xdr:col>29</xdr:col>
      <xdr:colOff>142875</xdr:colOff>
      <xdr:row>50</xdr:row>
      <xdr:rowOff>127000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3695</xdr:colOff>
      <xdr:row>70</xdr:row>
      <xdr:rowOff>27508</xdr:rowOff>
    </xdr:from>
    <xdr:to>
      <xdr:col>29</xdr:col>
      <xdr:colOff>670445</xdr:colOff>
      <xdr:row>90</xdr:row>
      <xdr:rowOff>47623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52</xdr:row>
          <xdr:rowOff>19050</xdr:rowOff>
        </xdr:from>
        <xdr:to>
          <xdr:col>19</xdr:col>
          <xdr:colOff>0</xdr:colOff>
          <xdr:row>53</xdr:row>
          <xdr:rowOff>200025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18</xdr:row>
      <xdr:rowOff>152400</xdr:rowOff>
    </xdr:from>
    <xdr:to>
      <xdr:col>14</xdr:col>
      <xdr:colOff>9525</xdr:colOff>
      <xdr:row>22</xdr:row>
      <xdr:rowOff>38100</xdr:rowOff>
    </xdr:to>
    <xdr:sp macro="" textlink="">
      <xdr:nvSpPr>
        <xdr:cNvPr id="2" name="文字方塊 1"/>
        <xdr:cNvSpPr txBox="1"/>
      </xdr:nvSpPr>
      <xdr:spPr>
        <a:xfrm>
          <a:off x="1685925" y="3924300"/>
          <a:ext cx="8220075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If N = 0 Then P*B1</a:t>
          </a:r>
        </a:p>
        <a:p>
          <a:r>
            <a:rPr lang="en-US" altLang="zh-TW" sz="1100"/>
            <a:t>If N = -1 Then (P-1)*B1+B3</a:t>
          </a:r>
        </a:p>
        <a:p>
          <a:r>
            <a:rPr lang="en-US" altLang="zh-TW" sz="1100"/>
            <a:t>If N = -1 Then (P-1)*B1+B2</a:t>
          </a:r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302"/>
  <sheetViews>
    <sheetView topLeftCell="A49" workbookViewId="0">
      <pane xSplit="13470" topLeftCell="AC1"/>
      <selection activeCell="C67" sqref="C67"/>
      <selection pane="topRight" activeCell="AD64" sqref="AD64"/>
    </sheetView>
  </sheetViews>
  <sheetFormatPr defaultRowHeight="16.5" x14ac:dyDescent="0.25"/>
  <sheetData>
    <row r="1" spans="1:37" x14ac:dyDescent="0.25">
      <c r="T1" t="s">
        <v>63</v>
      </c>
      <c r="AB1" t="s">
        <v>64</v>
      </c>
      <c r="AE1" t="s">
        <v>65</v>
      </c>
      <c r="AH1" t="s">
        <v>15</v>
      </c>
      <c r="AI1" t="s">
        <v>66</v>
      </c>
      <c r="AJ1" t="s">
        <v>67</v>
      </c>
    </row>
    <row r="2" spans="1:37" x14ac:dyDescent="0.25">
      <c r="T2" t="s">
        <v>5</v>
      </c>
      <c r="U2" t="s">
        <v>6</v>
      </c>
      <c r="V2" t="s">
        <v>7</v>
      </c>
      <c r="W2" t="s">
        <v>8</v>
      </c>
      <c r="X2" t="s">
        <v>9</v>
      </c>
      <c r="Y2" t="s">
        <v>10</v>
      </c>
      <c r="Z2" t="s">
        <v>68</v>
      </c>
      <c r="AA2" t="s">
        <v>69</v>
      </c>
      <c r="AB2" t="s">
        <v>70</v>
      </c>
      <c r="AC2" t="s">
        <v>71</v>
      </c>
      <c r="AD2" t="s">
        <v>72</v>
      </c>
      <c r="AE2" t="s">
        <v>73</v>
      </c>
      <c r="AF2" t="s">
        <v>74</v>
      </c>
      <c r="AG2" t="s">
        <v>72</v>
      </c>
      <c r="AJ2" t="s">
        <v>75</v>
      </c>
      <c r="AK2" t="s">
        <v>76</v>
      </c>
    </row>
    <row r="3" spans="1:3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168</v>
      </c>
      <c r="I3">
        <v>0</v>
      </c>
      <c r="J3">
        <v>0</v>
      </c>
      <c r="K3">
        <v>0</v>
      </c>
      <c r="L3">
        <v>0</v>
      </c>
      <c r="T3">
        <v>20080513</v>
      </c>
      <c r="U3">
        <v>8862</v>
      </c>
      <c r="V3">
        <v>9044</v>
      </c>
      <c r="W3">
        <v>8851</v>
      </c>
      <c r="X3">
        <v>9030</v>
      </c>
      <c r="Y3">
        <v>62502</v>
      </c>
      <c r="Z3" t="s">
        <v>77</v>
      </c>
      <c r="AA3">
        <v>168</v>
      </c>
    </row>
    <row r="4" spans="1:37" x14ac:dyDescent="0.2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28</v>
      </c>
      <c r="I4">
        <v>0</v>
      </c>
      <c r="J4">
        <v>0</v>
      </c>
      <c r="K4">
        <v>0</v>
      </c>
      <c r="L4">
        <v>0</v>
      </c>
      <c r="T4">
        <v>20080514</v>
      </c>
      <c r="U4">
        <v>9030</v>
      </c>
      <c r="V4">
        <v>9088</v>
      </c>
      <c r="W4">
        <v>9002</v>
      </c>
      <c r="X4">
        <v>9058</v>
      </c>
      <c r="Y4">
        <v>53185</v>
      </c>
      <c r="Z4">
        <v>0</v>
      </c>
      <c r="AA4">
        <v>28</v>
      </c>
      <c r="AB4">
        <v>1</v>
      </c>
      <c r="AC4" t="s">
        <v>78</v>
      </c>
      <c r="AE4" t="s">
        <v>79</v>
      </c>
      <c r="AI4" t="s">
        <v>80</v>
      </c>
      <c r="AJ4" t="s">
        <v>81</v>
      </c>
    </row>
    <row r="5" spans="1:37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30</v>
      </c>
      <c r="H5">
        <v>94</v>
      </c>
      <c r="I5">
        <v>0</v>
      </c>
      <c r="J5">
        <v>0</v>
      </c>
      <c r="K5">
        <v>0</v>
      </c>
      <c r="L5">
        <v>0</v>
      </c>
      <c r="T5">
        <v>20080515</v>
      </c>
      <c r="U5">
        <v>9088</v>
      </c>
      <c r="V5">
        <v>9209</v>
      </c>
      <c r="W5">
        <v>9088</v>
      </c>
      <c r="X5">
        <v>9182</v>
      </c>
      <c r="Y5">
        <v>53467</v>
      </c>
      <c r="Z5">
        <v>30</v>
      </c>
      <c r="AA5">
        <v>94</v>
      </c>
      <c r="AB5">
        <v>1</v>
      </c>
      <c r="AC5" t="s">
        <v>82</v>
      </c>
      <c r="AD5">
        <v>10</v>
      </c>
      <c r="AE5" t="s">
        <v>83</v>
      </c>
      <c r="AF5">
        <v>8</v>
      </c>
      <c r="AI5">
        <v>2</v>
      </c>
      <c r="AJ5" t="s">
        <v>84</v>
      </c>
      <c r="AK5">
        <v>-932</v>
      </c>
    </row>
    <row r="6" spans="1:37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38</v>
      </c>
      <c r="H6">
        <v>28</v>
      </c>
      <c r="I6">
        <v>0</v>
      </c>
      <c r="J6">
        <v>0</v>
      </c>
      <c r="K6">
        <v>0</v>
      </c>
      <c r="L6">
        <v>0</v>
      </c>
      <c r="T6">
        <v>20080516</v>
      </c>
      <c r="U6">
        <v>9220</v>
      </c>
      <c r="V6">
        <v>9286</v>
      </c>
      <c r="W6">
        <v>9191</v>
      </c>
      <c r="X6">
        <v>9248</v>
      </c>
      <c r="Y6">
        <v>54949</v>
      </c>
      <c r="Z6">
        <v>38</v>
      </c>
      <c r="AA6">
        <v>28</v>
      </c>
      <c r="AB6">
        <v>1</v>
      </c>
      <c r="AC6" t="s">
        <v>85</v>
      </c>
      <c r="AD6">
        <v>0.2</v>
      </c>
      <c r="AE6" t="s">
        <v>86</v>
      </c>
      <c r="AF6">
        <v>20</v>
      </c>
      <c r="AI6" t="s">
        <v>87</v>
      </c>
      <c r="AJ6" t="s">
        <v>88</v>
      </c>
      <c r="AK6">
        <v>-58</v>
      </c>
    </row>
    <row r="7" spans="1:37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21</v>
      </c>
      <c r="H7">
        <v>101</v>
      </c>
      <c r="I7">
        <v>0</v>
      </c>
      <c r="J7">
        <v>0</v>
      </c>
      <c r="K7">
        <v>0</v>
      </c>
      <c r="L7">
        <v>0</v>
      </c>
      <c r="T7">
        <v>20080519</v>
      </c>
      <c r="U7">
        <v>9269</v>
      </c>
      <c r="V7">
        <v>9379</v>
      </c>
      <c r="W7">
        <v>9243</v>
      </c>
      <c r="X7">
        <v>9370</v>
      </c>
      <c r="Y7">
        <v>44485</v>
      </c>
      <c r="Z7">
        <v>21</v>
      </c>
      <c r="AA7">
        <v>101</v>
      </c>
      <c r="AB7">
        <v>1</v>
      </c>
      <c r="AC7" t="s">
        <v>89</v>
      </c>
      <c r="AD7">
        <v>0.6</v>
      </c>
      <c r="AI7">
        <v>-2</v>
      </c>
      <c r="AJ7" t="s">
        <v>90</v>
      </c>
      <c r="AK7">
        <v>-874</v>
      </c>
    </row>
    <row r="8" spans="1:37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-14</v>
      </c>
      <c r="H8">
        <v>-282</v>
      </c>
      <c r="I8">
        <v>0</v>
      </c>
      <c r="J8">
        <v>0</v>
      </c>
      <c r="K8">
        <v>0</v>
      </c>
      <c r="L8">
        <v>0</v>
      </c>
      <c r="T8">
        <v>20080520</v>
      </c>
      <c r="U8">
        <v>9356</v>
      </c>
      <c r="V8">
        <v>9388</v>
      </c>
      <c r="W8">
        <v>9059</v>
      </c>
      <c r="X8">
        <v>9074</v>
      </c>
      <c r="Y8">
        <v>77082</v>
      </c>
      <c r="Z8">
        <v>-14</v>
      </c>
      <c r="AA8">
        <v>-282</v>
      </c>
      <c r="AB8">
        <v>0</v>
      </c>
    </row>
    <row r="9" spans="1:37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-45</v>
      </c>
      <c r="H9">
        <v>-39</v>
      </c>
      <c r="I9">
        <v>0</v>
      </c>
      <c r="J9">
        <v>0</v>
      </c>
      <c r="K9">
        <v>0</v>
      </c>
      <c r="L9">
        <v>0</v>
      </c>
      <c r="T9">
        <v>20080521</v>
      </c>
      <c r="U9">
        <v>9029</v>
      </c>
      <c r="V9">
        <v>9069</v>
      </c>
      <c r="W9">
        <v>8955</v>
      </c>
      <c r="X9">
        <v>8990</v>
      </c>
      <c r="Y9">
        <v>46450</v>
      </c>
      <c r="Z9">
        <v>-45</v>
      </c>
      <c r="AA9">
        <v>-39</v>
      </c>
      <c r="AB9">
        <v>0</v>
      </c>
    </row>
    <row r="10" spans="1:37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-115</v>
      </c>
      <c r="H10">
        <v>143</v>
      </c>
      <c r="I10">
        <v>0</v>
      </c>
      <c r="J10">
        <v>0</v>
      </c>
      <c r="K10">
        <v>0</v>
      </c>
      <c r="L10">
        <v>0</v>
      </c>
      <c r="T10">
        <v>20080522</v>
      </c>
      <c r="U10">
        <v>8875</v>
      </c>
      <c r="V10">
        <v>9019</v>
      </c>
      <c r="W10">
        <v>8865</v>
      </c>
      <c r="X10">
        <v>9018</v>
      </c>
      <c r="Y10">
        <v>56768</v>
      </c>
      <c r="Z10">
        <v>-115</v>
      </c>
      <c r="AA10">
        <v>143</v>
      </c>
      <c r="AB10">
        <v>1</v>
      </c>
    </row>
    <row r="11" spans="1:37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-18</v>
      </c>
      <c r="H11">
        <v>-214</v>
      </c>
      <c r="I11">
        <v>0</v>
      </c>
      <c r="J11">
        <v>0</v>
      </c>
      <c r="K11">
        <v>0</v>
      </c>
      <c r="L11">
        <v>0</v>
      </c>
      <c r="T11">
        <v>20080523</v>
      </c>
      <c r="U11">
        <v>9000</v>
      </c>
      <c r="V11">
        <v>9027</v>
      </c>
      <c r="W11">
        <v>8778</v>
      </c>
      <c r="X11">
        <v>8786</v>
      </c>
      <c r="Y11">
        <v>70595</v>
      </c>
      <c r="Z11">
        <v>-18</v>
      </c>
      <c r="AA11">
        <v>-214</v>
      </c>
      <c r="AB11">
        <v>0</v>
      </c>
    </row>
    <row r="12" spans="1:37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-50</v>
      </c>
      <c r="H12">
        <v>-37</v>
      </c>
      <c r="I12">
        <v>0</v>
      </c>
      <c r="J12">
        <v>0</v>
      </c>
      <c r="K12">
        <v>0</v>
      </c>
      <c r="L12">
        <v>0</v>
      </c>
      <c r="T12">
        <v>20080526</v>
      </c>
      <c r="U12">
        <v>8736</v>
      </c>
      <c r="V12">
        <v>8790</v>
      </c>
      <c r="W12">
        <v>8689</v>
      </c>
      <c r="X12">
        <v>8699</v>
      </c>
      <c r="Y12">
        <v>55917</v>
      </c>
      <c r="Z12">
        <v>-50</v>
      </c>
      <c r="AA12">
        <v>-37</v>
      </c>
      <c r="AB12">
        <v>0</v>
      </c>
    </row>
    <row r="13" spans="1:37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2</v>
      </c>
      <c r="H13">
        <v>75</v>
      </c>
      <c r="I13">
        <v>0</v>
      </c>
      <c r="J13">
        <v>0</v>
      </c>
      <c r="K13">
        <v>0</v>
      </c>
      <c r="L13">
        <v>0</v>
      </c>
      <c r="T13">
        <v>20080527</v>
      </c>
      <c r="U13">
        <v>8701</v>
      </c>
      <c r="V13">
        <v>8785</v>
      </c>
      <c r="W13">
        <v>8700</v>
      </c>
      <c r="X13">
        <v>8776</v>
      </c>
      <c r="Y13">
        <v>44009</v>
      </c>
      <c r="Z13">
        <v>2</v>
      </c>
      <c r="AA13">
        <v>75</v>
      </c>
      <c r="AB13">
        <v>1</v>
      </c>
    </row>
    <row r="14" spans="1:37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14</v>
      </c>
      <c r="H14">
        <v>-144</v>
      </c>
      <c r="I14">
        <v>0</v>
      </c>
      <c r="J14">
        <v>0</v>
      </c>
      <c r="K14">
        <v>0</v>
      </c>
      <c r="L14">
        <v>0</v>
      </c>
      <c r="T14">
        <v>20080528</v>
      </c>
      <c r="U14">
        <v>8790</v>
      </c>
      <c r="V14">
        <v>8795</v>
      </c>
      <c r="W14">
        <v>8625</v>
      </c>
      <c r="X14">
        <v>8646</v>
      </c>
      <c r="Y14">
        <v>65689</v>
      </c>
      <c r="Z14">
        <v>14</v>
      </c>
      <c r="AA14">
        <v>-144</v>
      </c>
      <c r="AB14">
        <v>0</v>
      </c>
    </row>
    <row r="15" spans="1:37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83</v>
      </c>
      <c r="H15">
        <v>-9</v>
      </c>
      <c r="I15">
        <v>0</v>
      </c>
      <c r="J15">
        <v>0</v>
      </c>
      <c r="K15">
        <v>0</v>
      </c>
      <c r="L15">
        <v>0</v>
      </c>
      <c r="T15">
        <v>20080529</v>
      </c>
      <c r="U15">
        <v>8729</v>
      </c>
      <c r="V15">
        <v>8771</v>
      </c>
      <c r="W15">
        <v>8650</v>
      </c>
      <c r="X15">
        <v>8720</v>
      </c>
      <c r="Y15">
        <v>56717</v>
      </c>
      <c r="Z15">
        <v>83</v>
      </c>
      <c r="AA15">
        <v>-9</v>
      </c>
      <c r="AB15">
        <v>1</v>
      </c>
    </row>
    <row r="16" spans="1:37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45</v>
      </c>
      <c r="H16">
        <v>-117</v>
      </c>
      <c r="I16">
        <v>0</v>
      </c>
      <c r="J16">
        <v>0</v>
      </c>
      <c r="K16">
        <v>0</v>
      </c>
      <c r="L16">
        <v>0</v>
      </c>
      <c r="T16">
        <v>20080530</v>
      </c>
      <c r="U16">
        <v>8765</v>
      </c>
      <c r="V16">
        <v>8780</v>
      </c>
      <c r="W16">
        <v>8536</v>
      </c>
      <c r="X16">
        <v>8648</v>
      </c>
      <c r="Y16">
        <v>75934</v>
      </c>
      <c r="Z16">
        <v>45</v>
      </c>
      <c r="AA16">
        <v>-117</v>
      </c>
      <c r="AB16">
        <v>0</v>
      </c>
    </row>
    <row r="17" spans="1:28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-13</v>
      </c>
      <c r="H17">
        <v>65</v>
      </c>
      <c r="I17">
        <v>0</v>
      </c>
      <c r="J17">
        <v>0</v>
      </c>
      <c r="K17">
        <v>0</v>
      </c>
      <c r="L17">
        <v>0</v>
      </c>
      <c r="T17">
        <v>20080602</v>
      </c>
      <c r="U17">
        <v>8635</v>
      </c>
      <c r="V17">
        <v>8709</v>
      </c>
      <c r="W17">
        <v>8603</v>
      </c>
      <c r="X17">
        <v>8700</v>
      </c>
      <c r="Y17">
        <v>49485</v>
      </c>
      <c r="Z17">
        <v>-13</v>
      </c>
      <c r="AA17">
        <v>65</v>
      </c>
      <c r="AB17">
        <v>1</v>
      </c>
    </row>
    <row r="18" spans="1:28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-56</v>
      </c>
      <c r="H18">
        <v>-104</v>
      </c>
      <c r="I18">
        <v>0</v>
      </c>
      <c r="J18">
        <v>0</v>
      </c>
      <c r="K18">
        <v>0</v>
      </c>
      <c r="L18">
        <v>0</v>
      </c>
      <c r="T18">
        <v>20080603</v>
      </c>
      <c r="U18">
        <v>8644</v>
      </c>
      <c r="V18">
        <v>8657</v>
      </c>
      <c r="W18">
        <v>8510</v>
      </c>
      <c r="X18">
        <v>8540</v>
      </c>
      <c r="Y18">
        <v>55795</v>
      </c>
      <c r="Z18">
        <v>-56</v>
      </c>
      <c r="AA18">
        <v>-104</v>
      </c>
      <c r="AB18">
        <v>0</v>
      </c>
    </row>
    <row r="19" spans="1:28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52</v>
      </c>
      <c r="I19">
        <v>0</v>
      </c>
      <c r="J19">
        <v>0</v>
      </c>
      <c r="K19">
        <v>0</v>
      </c>
      <c r="L19">
        <v>0</v>
      </c>
      <c r="T19">
        <v>20080604</v>
      </c>
      <c r="U19">
        <v>8540</v>
      </c>
      <c r="V19">
        <v>8619</v>
      </c>
      <c r="W19">
        <v>8526</v>
      </c>
      <c r="X19">
        <v>8592</v>
      </c>
      <c r="Y19">
        <v>44302</v>
      </c>
      <c r="Z19">
        <v>0</v>
      </c>
      <c r="AA19">
        <v>52</v>
      </c>
      <c r="AB19">
        <v>1</v>
      </c>
    </row>
    <row r="20" spans="1:28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-21</v>
      </c>
      <c r="H20">
        <v>154</v>
      </c>
      <c r="I20">
        <v>0</v>
      </c>
      <c r="J20">
        <v>0</v>
      </c>
      <c r="K20">
        <v>0</v>
      </c>
      <c r="L20">
        <v>0</v>
      </c>
      <c r="T20">
        <v>20080605</v>
      </c>
      <c r="U20">
        <v>8571</v>
      </c>
      <c r="V20">
        <v>8765</v>
      </c>
      <c r="W20">
        <v>8472</v>
      </c>
      <c r="X20">
        <v>8725</v>
      </c>
      <c r="Y20">
        <v>78503</v>
      </c>
      <c r="Z20">
        <v>-21</v>
      </c>
      <c r="AA20">
        <v>154</v>
      </c>
      <c r="AB20">
        <v>1</v>
      </c>
    </row>
    <row r="21" spans="1:28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63</v>
      </c>
      <c r="H21">
        <v>-32</v>
      </c>
      <c r="I21">
        <v>0</v>
      </c>
      <c r="J21">
        <v>0</v>
      </c>
      <c r="K21">
        <v>0</v>
      </c>
      <c r="L21">
        <v>0</v>
      </c>
      <c r="T21">
        <v>20080606</v>
      </c>
      <c r="U21">
        <v>8788</v>
      </c>
      <c r="V21">
        <v>8798</v>
      </c>
      <c r="W21">
        <v>8712</v>
      </c>
      <c r="X21">
        <v>8756</v>
      </c>
      <c r="Y21">
        <v>49130</v>
      </c>
      <c r="Z21">
        <v>63</v>
      </c>
      <c r="AA21">
        <v>-32</v>
      </c>
      <c r="AB21">
        <v>1</v>
      </c>
    </row>
    <row r="22" spans="1:28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-236</v>
      </c>
      <c r="H22">
        <v>9</v>
      </c>
      <c r="I22">
        <v>0</v>
      </c>
      <c r="J22">
        <v>0</v>
      </c>
      <c r="K22">
        <v>0</v>
      </c>
      <c r="L22">
        <v>0</v>
      </c>
      <c r="T22">
        <v>20080609</v>
      </c>
      <c r="U22">
        <v>8520</v>
      </c>
      <c r="V22">
        <v>8555</v>
      </c>
      <c r="W22">
        <v>8492</v>
      </c>
      <c r="X22">
        <v>8529</v>
      </c>
      <c r="Y22">
        <v>44676</v>
      </c>
      <c r="Z22">
        <v>-236</v>
      </c>
      <c r="AA22">
        <v>9</v>
      </c>
      <c r="AB22">
        <v>0</v>
      </c>
    </row>
    <row r="23" spans="1:28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-189</v>
      </c>
      <c r="I23">
        <v>0</v>
      </c>
      <c r="J23">
        <v>0</v>
      </c>
      <c r="K23">
        <v>0</v>
      </c>
      <c r="L23">
        <v>0</v>
      </c>
      <c r="T23">
        <v>20080610</v>
      </c>
      <c r="U23">
        <v>8529</v>
      </c>
      <c r="V23">
        <v>8565</v>
      </c>
      <c r="W23">
        <v>8321</v>
      </c>
      <c r="X23">
        <v>8340</v>
      </c>
      <c r="Y23">
        <v>75201</v>
      </c>
      <c r="Z23">
        <v>0</v>
      </c>
      <c r="AA23">
        <v>-189</v>
      </c>
      <c r="AB23">
        <v>0</v>
      </c>
    </row>
    <row r="24" spans="1:28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25</v>
      </c>
      <c r="H24">
        <v>-49</v>
      </c>
      <c r="I24">
        <v>0</v>
      </c>
      <c r="J24">
        <v>0</v>
      </c>
      <c r="K24">
        <v>0</v>
      </c>
      <c r="L24">
        <v>0</v>
      </c>
      <c r="T24">
        <v>20080611</v>
      </c>
      <c r="U24">
        <v>8365</v>
      </c>
      <c r="V24">
        <v>8404</v>
      </c>
      <c r="W24">
        <v>8291</v>
      </c>
      <c r="X24">
        <v>8316</v>
      </c>
      <c r="Y24">
        <v>58739</v>
      </c>
      <c r="Z24">
        <v>25</v>
      </c>
      <c r="AA24">
        <v>-49</v>
      </c>
      <c r="AB24">
        <v>0</v>
      </c>
    </row>
    <row r="25" spans="1:28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-117</v>
      </c>
      <c r="H25">
        <v>-156</v>
      </c>
      <c r="I25">
        <v>0</v>
      </c>
      <c r="J25">
        <v>0</v>
      </c>
      <c r="K25">
        <v>0</v>
      </c>
      <c r="L25">
        <v>0</v>
      </c>
      <c r="T25">
        <v>20080612</v>
      </c>
      <c r="U25">
        <v>8199</v>
      </c>
      <c r="V25">
        <v>8204</v>
      </c>
      <c r="W25">
        <v>7999</v>
      </c>
      <c r="X25">
        <v>8043</v>
      </c>
      <c r="Y25">
        <v>75451</v>
      </c>
      <c r="Z25">
        <v>-117</v>
      </c>
      <c r="AA25">
        <v>-156</v>
      </c>
      <c r="AB25">
        <v>0</v>
      </c>
    </row>
    <row r="26" spans="1:28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25</v>
      </c>
      <c r="H26">
        <v>-25</v>
      </c>
      <c r="I26">
        <v>0</v>
      </c>
      <c r="J26">
        <v>0</v>
      </c>
      <c r="K26">
        <v>0</v>
      </c>
      <c r="L26">
        <v>0</v>
      </c>
      <c r="T26">
        <v>20080613</v>
      </c>
      <c r="U26">
        <v>8068</v>
      </c>
      <c r="V26">
        <v>8140</v>
      </c>
      <c r="W26">
        <v>8002</v>
      </c>
      <c r="X26">
        <v>8043</v>
      </c>
      <c r="Y26">
        <v>62762</v>
      </c>
      <c r="Z26">
        <v>25</v>
      </c>
      <c r="AA26">
        <v>-25</v>
      </c>
      <c r="AB26">
        <v>0</v>
      </c>
    </row>
    <row r="27" spans="1:28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78</v>
      </c>
      <c r="H27">
        <v>12</v>
      </c>
      <c r="I27">
        <v>0</v>
      </c>
      <c r="J27">
        <v>0</v>
      </c>
      <c r="K27">
        <v>0</v>
      </c>
      <c r="L27">
        <v>0</v>
      </c>
      <c r="T27">
        <v>20080616</v>
      </c>
      <c r="U27">
        <v>8121</v>
      </c>
      <c r="V27">
        <v>8191</v>
      </c>
      <c r="W27">
        <v>8100</v>
      </c>
      <c r="X27">
        <v>8133</v>
      </c>
      <c r="Y27">
        <v>50645</v>
      </c>
      <c r="Z27">
        <v>78</v>
      </c>
      <c r="AA27">
        <v>12</v>
      </c>
      <c r="AB27">
        <v>1</v>
      </c>
    </row>
    <row r="28" spans="1:28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14</v>
      </c>
      <c r="I28">
        <v>0</v>
      </c>
      <c r="J28">
        <v>0</v>
      </c>
      <c r="K28">
        <v>0</v>
      </c>
      <c r="L28">
        <v>0</v>
      </c>
      <c r="T28">
        <v>20080617</v>
      </c>
      <c r="U28">
        <v>8133</v>
      </c>
      <c r="V28">
        <v>8177</v>
      </c>
      <c r="W28">
        <v>8017</v>
      </c>
      <c r="X28">
        <v>8147</v>
      </c>
      <c r="Y28">
        <v>62708</v>
      </c>
      <c r="Z28">
        <v>0</v>
      </c>
      <c r="AA28">
        <v>14</v>
      </c>
      <c r="AB28">
        <v>1</v>
      </c>
    </row>
    <row r="29" spans="1:28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-117</v>
      </c>
      <c r="H29">
        <v>51</v>
      </c>
      <c r="I29">
        <v>0</v>
      </c>
      <c r="J29">
        <v>0</v>
      </c>
      <c r="K29">
        <v>0</v>
      </c>
      <c r="L29">
        <v>0</v>
      </c>
      <c r="T29">
        <v>20080618</v>
      </c>
      <c r="U29">
        <v>8030</v>
      </c>
      <c r="V29">
        <v>8107</v>
      </c>
      <c r="W29">
        <v>8000</v>
      </c>
      <c r="X29">
        <v>8081</v>
      </c>
      <c r="Y29">
        <v>34093</v>
      </c>
      <c r="Z29">
        <v>-117</v>
      </c>
      <c r="AA29">
        <v>51</v>
      </c>
      <c r="AB29">
        <v>0</v>
      </c>
    </row>
    <row r="30" spans="1:28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-101</v>
      </c>
      <c r="H30">
        <v>-90</v>
      </c>
      <c r="I30">
        <v>0</v>
      </c>
      <c r="J30">
        <v>0</v>
      </c>
      <c r="K30">
        <v>0</v>
      </c>
      <c r="L30">
        <v>0</v>
      </c>
      <c r="T30">
        <v>20080619</v>
      </c>
      <c r="U30">
        <v>7980</v>
      </c>
      <c r="V30">
        <v>7980</v>
      </c>
      <c r="W30">
        <v>7886</v>
      </c>
      <c r="X30">
        <v>7890</v>
      </c>
      <c r="Y30">
        <v>53288</v>
      </c>
      <c r="Z30">
        <v>-101</v>
      </c>
      <c r="AA30">
        <v>-90</v>
      </c>
      <c r="AB30">
        <v>0</v>
      </c>
    </row>
    <row r="31" spans="1:28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20</v>
      </c>
      <c r="H31">
        <v>-132</v>
      </c>
      <c r="I31">
        <v>0</v>
      </c>
      <c r="J31">
        <v>0</v>
      </c>
      <c r="K31">
        <v>0</v>
      </c>
      <c r="L31">
        <v>0</v>
      </c>
      <c r="T31">
        <v>20080620</v>
      </c>
      <c r="U31">
        <v>7910</v>
      </c>
      <c r="V31">
        <v>7937</v>
      </c>
      <c r="W31">
        <v>7723</v>
      </c>
      <c r="X31">
        <v>7778</v>
      </c>
      <c r="Y31">
        <v>70541</v>
      </c>
      <c r="Z31">
        <v>20</v>
      </c>
      <c r="AA31">
        <v>-132</v>
      </c>
      <c r="AB31">
        <v>0</v>
      </c>
    </row>
    <row r="32" spans="1:28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-118</v>
      </c>
      <c r="H32">
        <v>94</v>
      </c>
      <c r="I32">
        <v>0</v>
      </c>
      <c r="J32">
        <v>0</v>
      </c>
      <c r="K32">
        <v>0</v>
      </c>
      <c r="L32">
        <v>0</v>
      </c>
      <c r="T32">
        <v>20080623</v>
      </c>
      <c r="U32">
        <v>7660</v>
      </c>
      <c r="V32">
        <v>7805</v>
      </c>
      <c r="W32">
        <v>7630</v>
      </c>
      <c r="X32">
        <v>7754</v>
      </c>
      <c r="Y32">
        <v>63149</v>
      </c>
      <c r="Z32">
        <v>-118</v>
      </c>
      <c r="AA32">
        <v>94</v>
      </c>
      <c r="AB32">
        <v>0</v>
      </c>
    </row>
    <row r="33" spans="1:28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-39</v>
      </c>
      <c r="H33">
        <v>-22</v>
      </c>
      <c r="I33">
        <v>0</v>
      </c>
      <c r="J33">
        <v>0</v>
      </c>
      <c r="K33">
        <v>0</v>
      </c>
      <c r="L33">
        <v>0</v>
      </c>
      <c r="T33">
        <v>20080624</v>
      </c>
      <c r="U33">
        <v>7715</v>
      </c>
      <c r="V33">
        <v>7782</v>
      </c>
      <c r="W33">
        <v>7645</v>
      </c>
      <c r="X33">
        <v>7693</v>
      </c>
      <c r="Y33">
        <v>64046</v>
      </c>
      <c r="Z33">
        <v>-39</v>
      </c>
      <c r="AA33">
        <v>-22</v>
      </c>
      <c r="AB33">
        <v>0</v>
      </c>
    </row>
    <row r="34" spans="1:28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-22</v>
      </c>
      <c r="H34">
        <v>82</v>
      </c>
      <c r="I34">
        <v>0</v>
      </c>
      <c r="J34">
        <v>0</v>
      </c>
      <c r="K34">
        <v>0</v>
      </c>
      <c r="L34">
        <v>0</v>
      </c>
      <c r="T34">
        <v>20080625</v>
      </c>
      <c r="U34">
        <v>7671</v>
      </c>
      <c r="V34">
        <v>7759</v>
      </c>
      <c r="W34">
        <v>7605</v>
      </c>
      <c r="X34">
        <v>7753</v>
      </c>
      <c r="Y34">
        <v>69317</v>
      </c>
      <c r="Z34">
        <v>-22</v>
      </c>
      <c r="AA34">
        <v>82</v>
      </c>
      <c r="AB34">
        <v>1</v>
      </c>
    </row>
    <row r="35" spans="1:28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-60</v>
      </c>
      <c r="I35">
        <v>0</v>
      </c>
      <c r="J35">
        <v>0</v>
      </c>
      <c r="K35">
        <v>0</v>
      </c>
      <c r="L35">
        <v>0</v>
      </c>
      <c r="T35">
        <v>20080626</v>
      </c>
      <c r="U35">
        <v>7753</v>
      </c>
      <c r="V35">
        <v>7798</v>
      </c>
      <c r="W35">
        <v>7690</v>
      </c>
      <c r="X35">
        <v>7693</v>
      </c>
      <c r="Y35">
        <v>60885</v>
      </c>
      <c r="Z35">
        <v>0</v>
      </c>
      <c r="AA35">
        <v>-60</v>
      </c>
      <c r="AB35">
        <v>0</v>
      </c>
    </row>
    <row r="36" spans="1:28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-312</v>
      </c>
      <c r="H36">
        <v>35</v>
      </c>
      <c r="I36">
        <v>0</v>
      </c>
      <c r="J36">
        <v>0</v>
      </c>
      <c r="K36">
        <v>0</v>
      </c>
      <c r="L36">
        <v>0</v>
      </c>
      <c r="T36">
        <v>20080627</v>
      </c>
      <c r="U36">
        <v>7381</v>
      </c>
      <c r="V36">
        <v>7460</v>
      </c>
      <c r="W36">
        <v>7341</v>
      </c>
      <c r="X36">
        <v>7416</v>
      </c>
      <c r="Y36">
        <v>67430</v>
      </c>
      <c r="Z36">
        <v>-312</v>
      </c>
      <c r="AA36">
        <v>35</v>
      </c>
      <c r="AB36">
        <v>0</v>
      </c>
    </row>
    <row r="37" spans="1:28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54</v>
      </c>
      <c r="H37">
        <v>-54</v>
      </c>
      <c r="I37">
        <v>0</v>
      </c>
      <c r="J37">
        <v>0</v>
      </c>
      <c r="K37">
        <v>0</v>
      </c>
      <c r="L37">
        <v>0</v>
      </c>
      <c r="T37">
        <v>20080630</v>
      </c>
      <c r="U37">
        <v>7470</v>
      </c>
      <c r="V37">
        <v>7490</v>
      </c>
      <c r="W37">
        <v>7382</v>
      </c>
      <c r="X37">
        <v>7416</v>
      </c>
      <c r="Y37">
        <v>51350</v>
      </c>
      <c r="Z37">
        <v>54</v>
      </c>
      <c r="AA37">
        <v>-54</v>
      </c>
      <c r="AB37">
        <v>0</v>
      </c>
    </row>
    <row r="38" spans="1:28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-6</v>
      </c>
      <c r="H38">
        <v>-119</v>
      </c>
      <c r="I38">
        <v>0</v>
      </c>
      <c r="J38">
        <v>0</v>
      </c>
      <c r="K38">
        <v>0</v>
      </c>
      <c r="L38">
        <v>0</v>
      </c>
      <c r="T38">
        <v>20080701</v>
      </c>
      <c r="U38">
        <v>7410</v>
      </c>
      <c r="V38">
        <v>7477</v>
      </c>
      <c r="W38">
        <v>7291</v>
      </c>
      <c r="X38">
        <v>7291</v>
      </c>
      <c r="Y38">
        <v>62859</v>
      </c>
      <c r="Z38">
        <v>-6</v>
      </c>
      <c r="AA38">
        <v>-119</v>
      </c>
      <c r="AB38">
        <v>0</v>
      </c>
    </row>
    <row r="39" spans="1:28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17</v>
      </c>
      <c r="H39">
        <v>-63</v>
      </c>
      <c r="I39">
        <v>0</v>
      </c>
      <c r="J39">
        <v>0</v>
      </c>
      <c r="K39">
        <v>0</v>
      </c>
      <c r="L39">
        <v>0</v>
      </c>
      <c r="T39">
        <v>20080702</v>
      </c>
      <c r="U39">
        <v>7308</v>
      </c>
      <c r="V39">
        <v>7394</v>
      </c>
      <c r="W39">
        <v>7245</v>
      </c>
      <c r="X39">
        <v>7245</v>
      </c>
      <c r="Y39">
        <v>74191</v>
      </c>
      <c r="Z39">
        <v>17</v>
      </c>
      <c r="AA39">
        <v>-63</v>
      </c>
      <c r="AB39">
        <v>0</v>
      </c>
    </row>
    <row r="40" spans="1:28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-105</v>
      </c>
      <c r="H40">
        <v>159</v>
      </c>
      <c r="I40">
        <v>0</v>
      </c>
      <c r="J40">
        <v>0</v>
      </c>
      <c r="K40">
        <v>0</v>
      </c>
      <c r="L40">
        <v>0</v>
      </c>
      <c r="T40">
        <v>20080703</v>
      </c>
      <c r="U40">
        <v>7140</v>
      </c>
      <c r="V40">
        <v>7377</v>
      </c>
      <c r="W40">
        <v>7055</v>
      </c>
      <c r="X40">
        <v>7299</v>
      </c>
      <c r="Y40">
        <v>88259</v>
      </c>
      <c r="Z40">
        <v>-105</v>
      </c>
      <c r="AA40">
        <v>159</v>
      </c>
      <c r="AB40">
        <v>1</v>
      </c>
    </row>
    <row r="41" spans="1:28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-17</v>
      </c>
      <c r="H41">
        <v>-182</v>
      </c>
      <c r="I41">
        <v>0</v>
      </c>
      <c r="J41">
        <v>0</v>
      </c>
      <c r="K41">
        <v>0</v>
      </c>
      <c r="L41">
        <v>0</v>
      </c>
      <c r="T41">
        <v>20080704</v>
      </c>
      <c r="U41">
        <v>7282</v>
      </c>
      <c r="V41">
        <v>7323</v>
      </c>
      <c r="W41">
        <v>7099</v>
      </c>
      <c r="X41">
        <v>7100</v>
      </c>
      <c r="Y41">
        <v>68335</v>
      </c>
      <c r="Z41">
        <v>-17</v>
      </c>
      <c r="AA41">
        <v>-182</v>
      </c>
      <c r="AB41">
        <v>0</v>
      </c>
    </row>
    <row r="42" spans="1:28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-4</v>
      </c>
      <c r="H42">
        <v>162</v>
      </c>
      <c r="I42">
        <v>0</v>
      </c>
      <c r="J42">
        <v>0</v>
      </c>
      <c r="K42">
        <v>0</v>
      </c>
      <c r="L42">
        <v>0</v>
      </c>
      <c r="T42">
        <v>20080707</v>
      </c>
      <c r="U42">
        <v>7096</v>
      </c>
      <c r="V42">
        <v>7279</v>
      </c>
      <c r="W42">
        <v>7075</v>
      </c>
      <c r="X42">
        <v>7258</v>
      </c>
      <c r="Y42">
        <v>62177</v>
      </c>
      <c r="Z42">
        <v>-4</v>
      </c>
      <c r="AA42">
        <v>162</v>
      </c>
      <c r="AB42">
        <v>1</v>
      </c>
    </row>
    <row r="43" spans="1:2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-59</v>
      </c>
      <c r="H43">
        <v>-211</v>
      </c>
      <c r="I43">
        <v>0</v>
      </c>
      <c r="J43">
        <v>0</v>
      </c>
      <c r="K43">
        <v>0</v>
      </c>
      <c r="L43">
        <v>0</v>
      </c>
      <c r="T43">
        <v>20080708</v>
      </c>
      <c r="U43">
        <v>7199</v>
      </c>
      <c r="V43">
        <v>7200</v>
      </c>
      <c r="W43">
        <v>6892</v>
      </c>
      <c r="X43">
        <v>6988</v>
      </c>
      <c r="Y43">
        <v>86073</v>
      </c>
      <c r="Z43">
        <v>-59</v>
      </c>
      <c r="AA43">
        <v>-211</v>
      </c>
      <c r="AB43">
        <v>0</v>
      </c>
    </row>
    <row r="44" spans="1:28" x14ac:dyDescent="0.25">
      <c r="A44">
        <v>1</v>
      </c>
      <c r="B44">
        <v>0</v>
      </c>
      <c r="C44">
        <v>0</v>
      </c>
      <c r="D44">
        <v>0</v>
      </c>
      <c r="E44">
        <v>0</v>
      </c>
      <c r="F44">
        <v>0</v>
      </c>
      <c r="G44">
        <v>107</v>
      </c>
      <c r="H44">
        <v>-84</v>
      </c>
      <c r="I44">
        <v>0</v>
      </c>
      <c r="J44">
        <v>0</v>
      </c>
      <c r="K44">
        <v>0</v>
      </c>
      <c r="L44">
        <v>0</v>
      </c>
      <c r="T44">
        <v>20080709</v>
      </c>
      <c r="U44">
        <v>7095</v>
      </c>
      <c r="V44">
        <v>7185</v>
      </c>
      <c r="W44">
        <v>6950</v>
      </c>
      <c r="X44">
        <v>7011</v>
      </c>
      <c r="Y44">
        <v>95503</v>
      </c>
      <c r="Z44">
        <v>107</v>
      </c>
      <c r="AA44">
        <v>-84</v>
      </c>
      <c r="AB44">
        <v>1</v>
      </c>
    </row>
    <row r="45" spans="1:28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-53</v>
      </c>
      <c r="H45">
        <v>52</v>
      </c>
      <c r="I45">
        <v>0</v>
      </c>
      <c r="J45">
        <v>0</v>
      </c>
      <c r="K45">
        <v>0</v>
      </c>
      <c r="L45">
        <v>0</v>
      </c>
      <c r="T45">
        <v>20080710</v>
      </c>
      <c r="U45">
        <v>6958</v>
      </c>
      <c r="V45">
        <v>7116</v>
      </c>
      <c r="W45">
        <v>6893</v>
      </c>
      <c r="X45">
        <v>7010</v>
      </c>
      <c r="Y45">
        <v>94064</v>
      </c>
      <c r="Z45">
        <v>-53</v>
      </c>
      <c r="AA45">
        <v>52</v>
      </c>
      <c r="AB45">
        <v>0</v>
      </c>
    </row>
    <row r="46" spans="1:28" x14ac:dyDescent="0.25">
      <c r="A46">
        <v>1</v>
      </c>
      <c r="B46">
        <v>0</v>
      </c>
      <c r="C46">
        <v>0</v>
      </c>
      <c r="D46">
        <v>0</v>
      </c>
      <c r="E46">
        <v>0</v>
      </c>
      <c r="F46">
        <v>0</v>
      </c>
      <c r="G46">
        <v>-37</v>
      </c>
      <c r="H46">
        <v>208</v>
      </c>
      <c r="I46">
        <v>0</v>
      </c>
      <c r="J46">
        <v>0</v>
      </c>
      <c r="K46">
        <v>0</v>
      </c>
      <c r="L46">
        <v>0</v>
      </c>
      <c r="T46">
        <v>20080711</v>
      </c>
      <c r="U46">
        <v>6973</v>
      </c>
      <c r="V46">
        <v>7206</v>
      </c>
      <c r="W46">
        <v>6963</v>
      </c>
      <c r="X46">
        <v>7181</v>
      </c>
      <c r="Y46">
        <v>97903</v>
      </c>
      <c r="Z46">
        <v>-37</v>
      </c>
      <c r="AA46">
        <v>208</v>
      </c>
      <c r="AB46">
        <v>1</v>
      </c>
    </row>
    <row r="47" spans="1:28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19</v>
      </c>
      <c r="H47">
        <v>-48</v>
      </c>
      <c r="I47">
        <v>0</v>
      </c>
      <c r="J47">
        <v>0</v>
      </c>
      <c r="K47">
        <v>0</v>
      </c>
      <c r="L47">
        <v>0</v>
      </c>
      <c r="T47">
        <v>20080714</v>
      </c>
      <c r="U47">
        <v>7200</v>
      </c>
      <c r="V47">
        <v>7238</v>
      </c>
      <c r="W47">
        <v>7088</v>
      </c>
      <c r="X47">
        <v>7152</v>
      </c>
      <c r="Y47">
        <v>74123</v>
      </c>
      <c r="Z47">
        <v>19</v>
      </c>
      <c r="AA47">
        <v>-48</v>
      </c>
      <c r="AB47">
        <v>0</v>
      </c>
    </row>
    <row r="48" spans="1:28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-102</v>
      </c>
      <c r="H48">
        <v>-260</v>
      </c>
      <c r="I48">
        <v>0</v>
      </c>
      <c r="J48">
        <v>0</v>
      </c>
      <c r="K48">
        <v>0</v>
      </c>
      <c r="L48">
        <v>0</v>
      </c>
      <c r="T48">
        <v>20080715</v>
      </c>
      <c r="U48">
        <v>7050</v>
      </c>
      <c r="V48">
        <v>7065</v>
      </c>
      <c r="W48">
        <v>6744</v>
      </c>
      <c r="X48">
        <v>6790</v>
      </c>
      <c r="Y48">
        <v>89664</v>
      </c>
      <c r="Z48">
        <v>-102</v>
      </c>
      <c r="AA48">
        <v>-260</v>
      </c>
      <c r="AB48">
        <v>0</v>
      </c>
    </row>
    <row r="49" spans="1:3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-78</v>
      </c>
      <c r="H49">
        <v>-171</v>
      </c>
      <c r="I49">
        <v>0</v>
      </c>
      <c r="J49">
        <v>0</v>
      </c>
      <c r="K49">
        <v>0</v>
      </c>
      <c r="L49">
        <v>0</v>
      </c>
      <c r="T49">
        <v>20080716</v>
      </c>
      <c r="U49">
        <v>6712</v>
      </c>
      <c r="V49">
        <v>6725</v>
      </c>
      <c r="W49">
        <v>6532</v>
      </c>
      <c r="X49">
        <v>6541</v>
      </c>
      <c r="Y49">
        <v>50918</v>
      </c>
      <c r="Z49">
        <v>-78</v>
      </c>
      <c r="AA49">
        <v>-171</v>
      </c>
      <c r="AB49">
        <v>0</v>
      </c>
    </row>
    <row r="50" spans="1:37" x14ac:dyDescent="0.25">
      <c r="A50">
        <v>1</v>
      </c>
      <c r="B50">
        <v>0</v>
      </c>
      <c r="C50">
        <v>0</v>
      </c>
      <c r="D50">
        <v>0</v>
      </c>
      <c r="E50">
        <v>0</v>
      </c>
      <c r="F50">
        <v>0</v>
      </c>
      <c r="G50">
        <v>159</v>
      </c>
      <c r="H50">
        <v>97</v>
      </c>
      <c r="I50">
        <v>0</v>
      </c>
      <c r="J50">
        <v>0</v>
      </c>
      <c r="K50">
        <v>0</v>
      </c>
      <c r="L50">
        <v>0</v>
      </c>
      <c r="T50">
        <v>20080717</v>
      </c>
      <c r="U50">
        <v>6700</v>
      </c>
      <c r="V50">
        <v>6848</v>
      </c>
      <c r="W50">
        <v>6689</v>
      </c>
      <c r="X50">
        <v>6797</v>
      </c>
      <c r="Y50">
        <v>74675</v>
      </c>
      <c r="Z50">
        <v>159</v>
      </c>
      <c r="AA50">
        <v>97</v>
      </c>
      <c r="AB50">
        <v>1</v>
      </c>
    </row>
    <row r="51" spans="1:3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63</v>
      </c>
      <c r="H51">
        <v>-179</v>
      </c>
      <c r="I51">
        <v>0</v>
      </c>
      <c r="J51">
        <v>0</v>
      </c>
      <c r="K51">
        <v>0</v>
      </c>
      <c r="L51">
        <v>0</v>
      </c>
      <c r="T51">
        <v>20080718</v>
      </c>
      <c r="U51">
        <v>6860</v>
      </c>
      <c r="V51">
        <v>6888</v>
      </c>
      <c r="W51">
        <v>6599</v>
      </c>
      <c r="X51">
        <v>6681</v>
      </c>
      <c r="Y51">
        <v>87374</v>
      </c>
      <c r="Z51">
        <v>63</v>
      </c>
      <c r="AA51">
        <v>-179</v>
      </c>
      <c r="AB51">
        <v>0</v>
      </c>
    </row>
    <row r="52" spans="1:37" x14ac:dyDescent="0.25">
      <c r="A52">
        <v>1</v>
      </c>
      <c r="B52">
        <v>0.4</v>
      </c>
      <c r="C52">
        <v>-1</v>
      </c>
      <c r="D52">
        <v>6894.875</v>
      </c>
      <c r="E52">
        <v>7166.1</v>
      </c>
      <c r="F52">
        <v>0</v>
      </c>
      <c r="G52">
        <v>164</v>
      </c>
      <c r="H52">
        <v>162</v>
      </c>
      <c r="I52">
        <v>0</v>
      </c>
      <c r="J52">
        <v>0</v>
      </c>
      <c r="K52">
        <v>0</v>
      </c>
      <c r="L52">
        <v>0</v>
      </c>
      <c r="T52">
        <v>20080721</v>
      </c>
      <c r="U52">
        <v>6845</v>
      </c>
      <c r="V52">
        <v>7020</v>
      </c>
      <c r="W52">
        <v>6840</v>
      </c>
      <c r="X52">
        <v>7007</v>
      </c>
      <c r="Y52">
        <v>71688</v>
      </c>
      <c r="Z52">
        <v>164</v>
      </c>
      <c r="AA52">
        <v>162</v>
      </c>
      <c r="AB52">
        <v>1</v>
      </c>
      <c r="AE52">
        <v>6894.875</v>
      </c>
      <c r="AF52">
        <v>7166.1</v>
      </c>
      <c r="AH52">
        <v>0</v>
      </c>
      <c r="AI52">
        <v>0</v>
      </c>
      <c r="AK52">
        <v>0</v>
      </c>
    </row>
    <row r="53" spans="1:37" x14ac:dyDescent="0.25">
      <c r="A53">
        <v>0</v>
      </c>
      <c r="B53">
        <v>0.4</v>
      </c>
      <c r="C53">
        <v>-1</v>
      </c>
      <c r="D53">
        <v>6889.5</v>
      </c>
      <c r="E53">
        <v>7129.8</v>
      </c>
      <c r="F53">
        <v>0</v>
      </c>
      <c r="G53">
        <v>-64</v>
      </c>
      <c r="H53">
        <v>24</v>
      </c>
      <c r="I53">
        <v>-1</v>
      </c>
      <c r="J53">
        <v>0</v>
      </c>
      <c r="K53">
        <v>0</v>
      </c>
      <c r="L53">
        <v>0</v>
      </c>
      <c r="T53">
        <v>20080722</v>
      </c>
      <c r="U53">
        <v>6943</v>
      </c>
      <c r="V53">
        <v>7010</v>
      </c>
      <c r="W53">
        <v>6886</v>
      </c>
      <c r="X53">
        <v>6967</v>
      </c>
      <c r="Y53">
        <v>75340</v>
      </c>
      <c r="Z53">
        <v>-64</v>
      </c>
      <c r="AA53">
        <v>24</v>
      </c>
      <c r="AB53">
        <v>0</v>
      </c>
      <c r="AC53">
        <v>0.4</v>
      </c>
      <c r="AD53">
        <v>0</v>
      </c>
      <c r="AE53">
        <v>6889.5</v>
      </c>
      <c r="AF53">
        <v>7129.8</v>
      </c>
      <c r="AG53">
        <v>0</v>
      </c>
      <c r="AH53">
        <v>0</v>
      </c>
      <c r="AI53">
        <v>0</v>
      </c>
      <c r="AJ53">
        <v>0</v>
      </c>
      <c r="AK53">
        <v>0</v>
      </c>
    </row>
    <row r="54" spans="1:37" x14ac:dyDescent="0.25">
      <c r="A54">
        <v>1</v>
      </c>
      <c r="B54">
        <v>0.4</v>
      </c>
      <c r="C54">
        <v>-1</v>
      </c>
      <c r="D54">
        <v>6890.125</v>
      </c>
      <c r="E54">
        <v>7101.45</v>
      </c>
      <c r="F54">
        <v>0</v>
      </c>
      <c r="G54">
        <v>133</v>
      </c>
      <c r="H54">
        <v>86</v>
      </c>
      <c r="I54">
        <v>-1</v>
      </c>
      <c r="J54">
        <v>-1</v>
      </c>
      <c r="K54">
        <v>-86</v>
      </c>
      <c r="L54">
        <v>-86</v>
      </c>
      <c r="T54">
        <v>20080723</v>
      </c>
      <c r="U54">
        <v>7100</v>
      </c>
      <c r="V54">
        <v>7250</v>
      </c>
      <c r="W54">
        <v>7075</v>
      </c>
      <c r="X54">
        <v>7186</v>
      </c>
      <c r="Y54">
        <v>80107</v>
      </c>
      <c r="Z54">
        <v>133</v>
      </c>
      <c r="AA54">
        <v>86</v>
      </c>
      <c r="AB54">
        <v>1</v>
      </c>
      <c r="AC54">
        <v>0.4</v>
      </c>
      <c r="AD54">
        <v>0</v>
      </c>
      <c r="AE54">
        <v>6890.125</v>
      </c>
      <c r="AF54">
        <v>7101.45</v>
      </c>
      <c r="AG54">
        <v>0</v>
      </c>
      <c r="AH54">
        <v>0</v>
      </c>
      <c r="AI54">
        <v>0</v>
      </c>
      <c r="AJ54">
        <v>0</v>
      </c>
      <c r="AK54">
        <v>0</v>
      </c>
    </row>
    <row r="55" spans="1:37" x14ac:dyDescent="0.25">
      <c r="A55">
        <v>1</v>
      </c>
      <c r="B55">
        <v>0.5</v>
      </c>
      <c r="C55">
        <v>-1</v>
      </c>
      <c r="D55">
        <v>6909.125</v>
      </c>
      <c r="E55">
        <v>7082</v>
      </c>
      <c r="F55">
        <v>0</v>
      </c>
      <c r="G55">
        <v>76</v>
      </c>
      <c r="H55">
        <v>42</v>
      </c>
      <c r="I55">
        <v>-1</v>
      </c>
      <c r="J55">
        <v>-2</v>
      </c>
      <c r="K55">
        <v>-160</v>
      </c>
      <c r="L55">
        <v>-246</v>
      </c>
      <c r="T55">
        <v>20080724</v>
      </c>
      <c r="U55">
        <v>7262</v>
      </c>
      <c r="V55">
        <v>7306</v>
      </c>
      <c r="W55">
        <v>7208</v>
      </c>
      <c r="X55">
        <v>7304</v>
      </c>
      <c r="Y55">
        <v>64280</v>
      </c>
      <c r="Z55">
        <v>76</v>
      </c>
      <c r="AA55">
        <v>42</v>
      </c>
      <c r="AB55">
        <v>1</v>
      </c>
      <c r="AC55">
        <v>0.5</v>
      </c>
      <c r="AD55">
        <v>0</v>
      </c>
      <c r="AE55">
        <v>6909.125</v>
      </c>
      <c r="AF55">
        <v>7082</v>
      </c>
      <c r="AG55">
        <v>0</v>
      </c>
      <c r="AH55">
        <v>0</v>
      </c>
      <c r="AI55">
        <v>0</v>
      </c>
      <c r="AJ55">
        <v>0</v>
      </c>
      <c r="AK55">
        <v>0</v>
      </c>
    </row>
    <row r="56" spans="1:37" x14ac:dyDescent="0.25">
      <c r="A56">
        <v>0</v>
      </c>
      <c r="B56">
        <v>0.4</v>
      </c>
      <c r="C56">
        <v>-1</v>
      </c>
      <c r="D56">
        <v>6956.625</v>
      </c>
      <c r="E56">
        <v>7069.7</v>
      </c>
      <c r="F56">
        <v>0</v>
      </c>
      <c r="G56">
        <v>-116</v>
      </c>
      <c r="H56">
        <v>-18</v>
      </c>
      <c r="I56">
        <v>-1</v>
      </c>
      <c r="J56">
        <v>-2</v>
      </c>
      <c r="K56">
        <v>268</v>
      </c>
      <c r="L56">
        <v>22</v>
      </c>
      <c r="T56">
        <v>20080725</v>
      </c>
      <c r="U56">
        <v>7188</v>
      </c>
      <c r="V56">
        <v>7190</v>
      </c>
      <c r="W56">
        <v>7082</v>
      </c>
      <c r="X56">
        <v>7170</v>
      </c>
      <c r="Y56">
        <v>62125</v>
      </c>
      <c r="Z56">
        <v>-116</v>
      </c>
      <c r="AA56">
        <v>-18</v>
      </c>
      <c r="AB56">
        <v>0</v>
      </c>
      <c r="AC56">
        <v>0.4</v>
      </c>
      <c r="AD56">
        <v>0</v>
      </c>
      <c r="AE56">
        <v>6956.625</v>
      </c>
      <c r="AF56">
        <v>7069.7</v>
      </c>
      <c r="AG56">
        <v>0</v>
      </c>
      <c r="AH56">
        <v>0</v>
      </c>
      <c r="AI56">
        <v>0</v>
      </c>
      <c r="AJ56">
        <v>0</v>
      </c>
      <c r="AK56">
        <v>0</v>
      </c>
    </row>
    <row r="57" spans="1:37" x14ac:dyDescent="0.25">
      <c r="A57">
        <v>0</v>
      </c>
      <c r="B57">
        <v>0.4</v>
      </c>
      <c r="C57">
        <v>-1</v>
      </c>
      <c r="D57">
        <v>7003.5</v>
      </c>
      <c r="E57">
        <v>7044.7</v>
      </c>
      <c r="F57">
        <v>0</v>
      </c>
      <c r="G57">
        <v>-220</v>
      </c>
      <c r="H57">
        <v>-34</v>
      </c>
      <c r="I57">
        <v>-1</v>
      </c>
      <c r="J57">
        <v>-2</v>
      </c>
      <c r="K57">
        <v>508</v>
      </c>
      <c r="L57">
        <v>530</v>
      </c>
      <c r="T57">
        <v>20080729</v>
      </c>
      <c r="U57">
        <v>6950</v>
      </c>
      <c r="V57">
        <v>6980</v>
      </c>
      <c r="W57">
        <v>6866</v>
      </c>
      <c r="X57">
        <v>6916</v>
      </c>
      <c r="Y57">
        <v>57587</v>
      </c>
      <c r="Z57">
        <v>-220</v>
      </c>
      <c r="AA57">
        <v>-34</v>
      </c>
      <c r="AB57">
        <v>0</v>
      </c>
      <c r="AC57">
        <v>0.4</v>
      </c>
      <c r="AD57">
        <v>0</v>
      </c>
      <c r="AE57">
        <v>7003.5</v>
      </c>
      <c r="AF57">
        <v>7044.7</v>
      </c>
      <c r="AG57">
        <v>0</v>
      </c>
      <c r="AH57">
        <v>0</v>
      </c>
      <c r="AI57">
        <v>0</v>
      </c>
      <c r="AJ57">
        <v>0</v>
      </c>
      <c r="AK57">
        <v>0</v>
      </c>
    </row>
    <row r="58" spans="1:37" x14ac:dyDescent="0.25">
      <c r="A58">
        <v>1</v>
      </c>
      <c r="B58">
        <v>0.5</v>
      </c>
      <c r="C58">
        <v>-1</v>
      </c>
      <c r="D58">
        <v>7031.625</v>
      </c>
      <c r="E58">
        <v>7031.25</v>
      </c>
      <c r="F58">
        <v>1</v>
      </c>
      <c r="G58">
        <v>154</v>
      </c>
      <c r="H58">
        <v>-48</v>
      </c>
      <c r="I58">
        <v>1</v>
      </c>
      <c r="J58">
        <v>-2</v>
      </c>
      <c r="K58">
        <v>-212</v>
      </c>
      <c r="L58">
        <v>318</v>
      </c>
      <c r="T58">
        <v>20080730</v>
      </c>
      <c r="U58">
        <v>7070</v>
      </c>
      <c r="V58">
        <v>7085</v>
      </c>
      <c r="W58">
        <v>6966</v>
      </c>
      <c r="X58">
        <v>7022</v>
      </c>
      <c r="Y58">
        <v>66830</v>
      </c>
      <c r="Z58">
        <v>154</v>
      </c>
      <c r="AA58">
        <v>-48</v>
      </c>
      <c r="AB58">
        <v>1</v>
      </c>
      <c r="AC58">
        <v>0.5</v>
      </c>
      <c r="AD58">
        <v>0</v>
      </c>
      <c r="AE58">
        <v>7031.625</v>
      </c>
      <c r="AF58">
        <v>7031.25</v>
      </c>
      <c r="AG58">
        <v>1</v>
      </c>
      <c r="AH58">
        <v>1</v>
      </c>
      <c r="AI58">
        <v>0</v>
      </c>
      <c r="AJ58">
        <v>0</v>
      </c>
      <c r="AK58">
        <v>0</v>
      </c>
    </row>
    <row r="59" spans="1:37" x14ac:dyDescent="0.25">
      <c r="A59">
        <v>0</v>
      </c>
      <c r="B59">
        <v>0.5</v>
      </c>
      <c r="C59">
        <v>-1</v>
      </c>
      <c r="D59">
        <v>7071.25</v>
      </c>
      <c r="E59">
        <v>7018.9</v>
      </c>
      <c r="F59">
        <v>0</v>
      </c>
      <c r="G59">
        <v>76</v>
      </c>
      <c r="H59">
        <v>-100</v>
      </c>
      <c r="I59">
        <v>-1</v>
      </c>
      <c r="J59">
        <v>-1</v>
      </c>
      <c r="K59">
        <v>-52</v>
      </c>
      <c r="L59">
        <v>266</v>
      </c>
      <c r="T59">
        <v>20080731</v>
      </c>
      <c r="U59">
        <v>7098</v>
      </c>
      <c r="V59">
        <v>7147</v>
      </c>
      <c r="W59">
        <v>6890</v>
      </c>
      <c r="X59">
        <v>6998</v>
      </c>
      <c r="Y59">
        <v>84650</v>
      </c>
      <c r="Z59">
        <v>76</v>
      </c>
      <c r="AA59">
        <v>-100</v>
      </c>
      <c r="AB59">
        <v>0</v>
      </c>
      <c r="AC59">
        <v>0.5</v>
      </c>
      <c r="AD59">
        <v>0</v>
      </c>
      <c r="AE59">
        <v>7071.25</v>
      </c>
      <c r="AF59">
        <v>7018.9</v>
      </c>
      <c r="AG59">
        <v>0</v>
      </c>
      <c r="AH59">
        <v>0</v>
      </c>
      <c r="AI59">
        <v>1</v>
      </c>
      <c r="AJ59">
        <v>-100</v>
      </c>
      <c r="AK59">
        <v>-100</v>
      </c>
    </row>
    <row r="60" spans="1:37" x14ac:dyDescent="0.25">
      <c r="A60">
        <v>0</v>
      </c>
      <c r="B60">
        <v>0.4</v>
      </c>
      <c r="C60">
        <v>-1</v>
      </c>
      <c r="D60">
        <v>7059.625</v>
      </c>
      <c r="E60">
        <v>6999.65</v>
      </c>
      <c r="F60">
        <v>0</v>
      </c>
      <c r="G60">
        <v>-97</v>
      </c>
      <c r="H60">
        <v>13</v>
      </c>
      <c r="I60">
        <v>-1</v>
      </c>
      <c r="J60">
        <v>-2</v>
      </c>
      <c r="K60">
        <v>71</v>
      </c>
      <c r="L60">
        <v>337</v>
      </c>
      <c r="T60">
        <v>20080801</v>
      </c>
      <c r="U60">
        <v>6901</v>
      </c>
      <c r="V60">
        <v>6969</v>
      </c>
      <c r="W60">
        <v>6851</v>
      </c>
      <c r="X60">
        <v>6914</v>
      </c>
      <c r="Y60">
        <v>66371</v>
      </c>
      <c r="Z60">
        <v>-97</v>
      </c>
      <c r="AA60">
        <v>13</v>
      </c>
      <c r="AB60">
        <v>0</v>
      </c>
      <c r="AC60">
        <v>0.4</v>
      </c>
      <c r="AD60">
        <v>0</v>
      </c>
      <c r="AE60">
        <v>7059.625</v>
      </c>
      <c r="AF60">
        <v>6999.65</v>
      </c>
      <c r="AG60">
        <v>0</v>
      </c>
      <c r="AH60">
        <v>0</v>
      </c>
      <c r="AI60">
        <v>1</v>
      </c>
      <c r="AJ60">
        <v>-84</v>
      </c>
      <c r="AK60">
        <v>-184</v>
      </c>
    </row>
    <row r="61" spans="1:37" x14ac:dyDescent="0.25">
      <c r="A61">
        <v>1</v>
      </c>
      <c r="B61">
        <v>0.5</v>
      </c>
      <c r="C61">
        <v>-1</v>
      </c>
      <c r="D61">
        <v>7055.5</v>
      </c>
      <c r="E61">
        <v>6991.35</v>
      </c>
      <c r="F61">
        <v>0</v>
      </c>
      <c r="G61">
        <v>-62</v>
      </c>
      <c r="H61">
        <v>82</v>
      </c>
      <c r="I61">
        <v>-1</v>
      </c>
      <c r="J61">
        <v>-2</v>
      </c>
      <c r="K61">
        <v>-40</v>
      </c>
      <c r="L61">
        <v>297</v>
      </c>
      <c r="T61">
        <v>20080804</v>
      </c>
      <c r="U61">
        <v>6852</v>
      </c>
      <c r="V61">
        <v>6964</v>
      </c>
      <c r="W61">
        <v>6850</v>
      </c>
      <c r="X61">
        <v>6934</v>
      </c>
      <c r="Y61">
        <v>53142</v>
      </c>
      <c r="Z61">
        <v>-62</v>
      </c>
      <c r="AA61">
        <v>82</v>
      </c>
      <c r="AB61">
        <v>1</v>
      </c>
      <c r="AC61">
        <v>0.5</v>
      </c>
      <c r="AD61">
        <v>0</v>
      </c>
      <c r="AE61">
        <v>7055.5</v>
      </c>
      <c r="AF61">
        <v>6991.35</v>
      </c>
      <c r="AG61">
        <v>0</v>
      </c>
      <c r="AH61">
        <v>0</v>
      </c>
      <c r="AI61">
        <v>1</v>
      </c>
      <c r="AJ61">
        <v>20</v>
      </c>
      <c r="AK61">
        <v>-164</v>
      </c>
    </row>
    <row r="62" spans="1:37" x14ac:dyDescent="0.25">
      <c r="A62">
        <v>0</v>
      </c>
      <c r="B62">
        <v>0.4</v>
      </c>
      <c r="C62">
        <v>-1</v>
      </c>
      <c r="D62">
        <v>7004.5</v>
      </c>
      <c r="E62">
        <v>6967.35</v>
      </c>
      <c r="F62">
        <v>0</v>
      </c>
      <c r="G62">
        <v>39</v>
      </c>
      <c r="H62">
        <v>-195</v>
      </c>
      <c r="I62">
        <v>-1</v>
      </c>
      <c r="J62">
        <v>-2</v>
      </c>
      <c r="K62">
        <v>312</v>
      </c>
      <c r="L62">
        <v>609</v>
      </c>
      <c r="T62">
        <v>20080805</v>
      </c>
      <c r="U62">
        <v>6973</v>
      </c>
      <c r="V62">
        <v>6993</v>
      </c>
      <c r="W62">
        <v>6756</v>
      </c>
      <c r="X62">
        <v>6778</v>
      </c>
      <c r="Y62">
        <v>81580</v>
      </c>
      <c r="Z62">
        <v>39</v>
      </c>
      <c r="AA62">
        <v>-195</v>
      </c>
      <c r="AB62">
        <v>0</v>
      </c>
      <c r="AC62">
        <v>0.4</v>
      </c>
      <c r="AD62">
        <v>0</v>
      </c>
      <c r="AE62">
        <v>7004.5</v>
      </c>
      <c r="AF62">
        <v>6967.35</v>
      </c>
      <c r="AG62">
        <v>0</v>
      </c>
      <c r="AH62">
        <v>0</v>
      </c>
      <c r="AI62">
        <v>1</v>
      </c>
      <c r="AJ62">
        <v>-156</v>
      </c>
      <c r="AK62">
        <v>-320</v>
      </c>
    </row>
    <row r="63" spans="1:37" x14ac:dyDescent="0.25">
      <c r="A63">
        <v>1</v>
      </c>
      <c r="B63">
        <v>0.5</v>
      </c>
      <c r="C63">
        <v>-1</v>
      </c>
      <c r="D63">
        <v>6968.625</v>
      </c>
      <c r="E63">
        <v>6968.8</v>
      </c>
      <c r="F63">
        <v>-1</v>
      </c>
      <c r="G63">
        <v>192</v>
      </c>
      <c r="H63">
        <v>47</v>
      </c>
      <c r="I63">
        <v>-1</v>
      </c>
      <c r="J63">
        <v>-2</v>
      </c>
      <c r="K63">
        <v>-478</v>
      </c>
      <c r="L63">
        <v>131</v>
      </c>
      <c r="T63">
        <v>20080806</v>
      </c>
      <c r="U63">
        <v>6970</v>
      </c>
      <c r="V63">
        <v>7030</v>
      </c>
      <c r="W63">
        <v>6910</v>
      </c>
      <c r="X63">
        <v>7017</v>
      </c>
      <c r="Y63">
        <v>63636</v>
      </c>
      <c r="Z63">
        <v>192</v>
      </c>
      <c r="AA63">
        <v>47</v>
      </c>
      <c r="AB63">
        <v>1</v>
      </c>
      <c r="AC63">
        <v>0.5</v>
      </c>
      <c r="AD63">
        <v>0</v>
      </c>
      <c r="AE63">
        <v>6968.625</v>
      </c>
      <c r="AF63">
        <v>6968.8</v>
      </c>
      <c r="AG63">
        <v>-1</v>
      </c>
      <c r="AH63">
        <v>-1</v>
      </c>
      <c r="AI63">
        <v>1</v>
      </c>
      <c r="AJ63">
        <v>239</v>
      </c>
      <c r="AK63">
        <v>-81</v>
      </c>
    </row>
    <row r="64" spans="1:37" x14ac:dyDescent="0.25">
      <c r="A64">
        <v>0</v>
      </c>
      <c r="B64">
        <v>0.4</v>
      </c>
      <c r="C64">
        <v>-1</v>
      </c>
      <c r="D64">
        <v>6948.125</v>
      </c>
      <c r="E64">
        <v>6968.55</v>
      </c>
      <c r="F64">
        <v>0</v>
      </c>
      <c r="G64">
        <v>-15</v>
      </c>
      <c r="H64">
        <v>4</v>
      </c>
      <c r="I64">
        <v>-1</v>
      </c>
      <c r="J64">
        <v>-2</v>
      </c>
      <c r="K64">
        <v>22</v>
      </c>
      <c r="L64">
        <v>153</v>
      </c>
      <c r="T64">
        <v>20080807</v>
      </c>
      <c r="U64">
        <v>7002</v>
      </c>
      <c r="V64">
        <v>7055</v>
      </c>
      <c r="W64">
        <v>6960</v>
      </c>
      <c r="X64">
        <v>7006</v>
      </c>
      <c r="Y64">
        <v>64790</v>
      </c>
      <c r="Z64">
        <v>-15</v>
      </c>
      <c r="AA64">
        <v>4</v>
      </c>
      <c r="AB64">
        <v>0</v>
      </c>
      <c r="AC64">
        <v>0.4</v>
      </c>
      <c r="AD64">
        <v>0</v>
      </c>
      <c r="AE64">
        <v>6948.125</v>
      </c>
      <c r="AF64">
        <v>6968.55</v>
      </c>
      <c r="AG64">
        <v>0</v>
      </c>
      <c r="AH64">
        <v>0</v>
      </c>
      <c r="AI64">
        <v>0</v>
      </c>
      <c r="AJ64">
        <v>-15</v>
      </c>
      <c r="AK64">
        <v>-96</v>
      </c>
    </row>
    <row r="65" spans="1:37" x14ac:dyDescent="0.25">
      <c r="A65">
        <v>1</v>
      </c>
      <c r="B65">
        <v>0.4</v>
      </c>
      <c r="C65">
        <v>-1</v>
      </c>
      <c r="D65">
        <v>6982.25</v>
      </c>
      <c r="E65">
        <v>6977.5</v>
      </c>
      <c r="F65">
        <v>1</v>
      </c>
      <c r="G65">
        <v>-65</v>
      </c>
      <c r="H65">
        <v>248</v>
      </c>
      <c r="I65">
        <v>1</v>
      </c>
      <c r="J65">
        <v>-2</v>
      </c>
      <c r="K65">
        <v>-366</v>
      </c>
      <c r="L65">
        <v>-213</v>
      </c>
      <c r="T65">
        <v>20080808</v>
      </c>
      <c r="U65">
        <v>6941</v>
      </c>
      <c r="V65">
        <v>7234</v>
      </c>
      <c r="W65">
        <v>6936</v>
      </c>
      <c r="X65">
        <v>7189</v>
      </c>
      <c r="Y65">
        <v>87490</v>
      </c>
      <c r="Z65">
        <v>-65</v>
      </c>
      <c r="AA65">
        <v>248</v>
      </c>
      <c r="AB65">
        <v>1</v>
      </c>
      <c r="AC65">
        <v>0.4</v>
      </c>
      <c r="AD65">
        <v>0</v>
      </c>
      <c r="AE65">
        <v>6982.25</v>
      </c>
      <c r="AF65">
        <v>6977.5</v>
      </c>
      <c r="AG65">
        <v>1</v>
      </c>
      <c r="AH65">
        <v>1</v>
      </c>
      <c r="AI65">
        <v>0</v>
      </c>
      <c r="AJ65">
        <v>0</v>
      </c>
      <c r="AK65">
        <v>-96</v>
      </c>
    </row>
    <row r="66" spans="1:37" x14ac:dyDescent="0.25">
      <c r="A66">
        <v>1</v>
      </c>
      <c r="B66">
        <v>0.5</v>
      </c>
      <c r="C66">
        <v>-1</v>
      </c>
      <c r="D66">
        <v>7015.625</v>
      </c>
      <c r="E66">
        <v>6982.9</v>
      </c>
      <c r="F66">
        <v>0</v>
      </c>
      <c r="G66">
        <v>79</v>
      </c>
      <c r="H66">
        <v>21</v>
      </c>
      <c r="I66">
        <v>-1</v>
      </c>
      <c r="J66">
        <v>-1</v>
      </c>
      <c r="K66">
        <v>-179</v>
      </c>
      <c r="L66">
        <v>-392</v>
      </c>
      <c r="T66">
        <v>20080811</v>
      </c>
      <c r="U66">
        <v>7268</v>
      </c>
      <c r="V66">
        <v>7339</v>
      </c>
      <c r="W66">
        <v>7250</v>
      </c>
      <c r="X66">
        <v>7289</v>
      </c>
      <c r="Y66">
        <v>59555</v>
      </c>
      <c r="Z66">
        <v>79</v>
      </c>
      <c r="AA66">
        <v>21</v>
      </c>
      <c r="AB66">
        <v>1</v>
      </c>
      <c r="AC66">
        <v>0.5</v>
      </c>
      <c r="AD66">
        <v>0</v>
      </c>
      <c r="AE66">
        <v>7015.625</v>
      </c>
      <c r="AF66">
        <v>6982.9</v>
      </c>
      <c r="AG66">
        <v>0</v>
      </c>
      <c r="AH66">
        <v>0</v>
      </c>
      <c r="AI66">
        <v>1</v>
      </c>
      <c r="AJ66">
        <v>21</v>
      </c>
      <c r="AK66">
        <v>-75</v>
      </c>
    </row>
    <row r="67" spans="1:37" x14ac:dyDescent="0.25">
      <c r="A67">
        <v>0</v>
      </c>
      <c r="B67">
        <v>0.5</v>
      </c>
      <c r="C67">
        <v>-1</v>
      </c>
      <c r="D67">
        <v>7049.625</v>
      </c>
      <c r="E67">
        <v>6988.8</v>
      </c>
      <c r="F67">
        <v>0</v>
      </c>
      <c r="G67">
        <v>-1</v>
      </c>
      <c r="H67">
        <v>-18</v>
      </c>
      <c r="I67">
        <v>-1</v>
      </c>
      <c r="J67">
        <v>-2</v>
      </c>
      <c r="K67">
        <v>37</v>
      </c>
      <c r="L67">
        <v>-355</v>
      </c>
      <c r="T67">
        <v>20080812</v>
      </c>
      <c r="U67">
        <v>7288</v>
      </c>
      <c r="V67">
        <v>7333</v>
      </c>
      <c r="W67">
        <v>7255</v>
      </c>
      <c r="X67">
        <v>7270</v>
      </c>
      <c r="Y67">
        <v>56263</v>
      </c>
      <c r="Z67">
        <v>-1</v>
      </c>
      <c r="AA67">
        <v>-18</v>
      </c>
      <c r="AB67">
        <v>0</v>
      </c>
      <c r="AC67">
        <v>0.5</v>
      </c>
      <c r="AD67">
        <v>0</v>
      </c>
      <c r="AE67">
        <v>7049.625</v>
      </c>
      <c r="AF67">
        <v>6988.8</v>
      </c>
      <c r="AG67">
        <v>0</v>
      </c>
      <c r="AH67">
        <v>0</v>
      </c>
      <c r="AI67">
        <v>1</v>
      </c>
      <c r="AJ67">
        <v>-19</v>
      </c>
      <c r="AK67">
        <v>-94</v>
      </c>
    </row>
    <row r="68" spans="1:37" x14ac:dyDescent="0.25">
      <c r="A68">
        <v>1</v>
      </c>
      <c r="B68">
        <v>0.5</v>
      </c>
      <c r="C68">
        <v>-1</v>
      </c>
      <c r="D68">
        <v>7097.75</v>
      </c>
      <c r="E68">
        <v>7014.25</v>
      </c>
      <c r="F68">
        <v>0</v>
      </c>
      <c r="G68">
        <v>-12</v>
      </c>
      <c r="H68">
        <v>41</v>
      </c>
      <c r="I68">
        <v>-1</v>
      </c>
      <c r="J68">
        <v>-2</v>
      </c>
      <c r="K68">
        <v>-58</v>
      </c>
      <c r="L68">
        <v>-413</v>
      </c>
      <c r="T68">
        <v>20080813</v>
      </c>
      <c r="U68">
        <v>7258</v>
      </c>
      <c r="V68">
        <v>7308</v>
      </c>
      <c r="W68">
        <v>7190</v>
      </c>
      <c r="X68">
        <v>7299</v>
      </c>
      <c r="Y68">
        <v>73840</v>
      </c>
      <c r="Z68">
        <v>-12</v>
      </c>
      <c r="AA68">
        <v>41</v>
      </c>
      <c r="AB68">
        <v>1</v>
      </c>
      <c r="AC68">
        <v>0.5</v>
      </c>
      <c r="AD68">
        <v>0</v>
      </c>
      <c r="AE68">
        <v>7097.75</v>
      </c>
      <c r="AF68">
        <v>7014.25</v>
      </c>
      <c r="AG68">
        <v>0</v>
      </c>
      <c r="AH68">
        <v>0</v>
      </c>
      <c r="AI68">
        <v>1</v>
      </c>
      <c r="AJ68">
        <v>29</v>
      </c>
      <c r="AK68">
        <v>-65</v>
      </c>
    </row>
    <row r="69" spans="1:37" x14ac:dyDescent="0.25">
      <c r="A69">
        <v>1</v>
      </c>
      <c r="B69">
        <v>0.6</v>
      </c>
      <c r="C69">
        <v>-1</v>
      </c>
      <c r="D69">
        <v>7151.375</v>
      </c>
      <c r="E69">
        <v>7055.35</v>
      </c>
      <c r="F69">
        <v>0</v>
      </c>
      <c r="G69">
        <v>-19</v>
      </c>
      <c r="H69">
        <v>83</v>
      </c>
      <c r="I69">
        <v>-1</v>
      </c>
      <c r="J69">
        <v>-2</v>
      </c>
      <c r="K69">
        <v>-128</v>
      </c>
      <c r="L69">
        <v>-541</v>
      </c>
      <c r="T69">
        <v>20080814</v>
      </c>
      <c r="U69">
        <v>7280</v>
      </c>
      <c r="V69">
        <v>7364</v>
      </c>
      <c r="W69">
        <v>7230</v>
      </c>
      <c r="X69">
        <v>7363</v>
      </c>
      <c r="Y69">
        <v>64327</v>
      </c>
      <c r="Z69">
        <v>-19</v>
      </c>
      <c r="AA69">
        <v>83</v>
      </c>
      <c r="AB69">
        <v>1</v>
      </c>
      <c r="AC69">
        <v>0.6</v>
      </c>
      <c r="AD69">
        <v>-1</v>
      </c>
      <c r="AE69">
        <v>7151.375</v>
      </c>
      <c r="AF69">
        <v>7055.35</v>
      </c>
      <c r="AG69">
        <v>0</v>
      </c>
      <c r="AH69">
        <v>-1</v>
      </c>
      <c r="AI69">
        <v>1</v>
      </c>
      <c r="AJ69">
        <v>64</v>
      </c>
      <c r="AK69">
        <v>-1</v>
      </c>
    </row>
    <row r="70" spans="1:37" x14ac:dyDescent="0.25">
      <c r="A70">
        <v>0</v>
      </c>
      <c r="B70">
        <v>0.6</v>
      </c>
      <c r="C70">
        <v>-1</v>
      </c>
      <c r="D70">
        <v>7206.125</v>
      </c>
      <c r="E70">
        <v>7076.3</v>
      </c>
      <c r="F70">
        <v>0</v>
      </c>
      <c r="G70">
        <v>-1</v>
      </c>
      <c r="H70">
        <v>-146</v>
      </c>
      <c r="I70">
        <v>-1</v>
      </c>
      <c r="J70">
        <v>-2</v>
      </c>
      <c r="K70">
        <v>294</v>
      </c>
      <c r="L70">
        <v>-247</v>
      </c>
      <c r="T70">
        <v>20080815</v>
      </c>
      <c r="U70">
        <v>7362</v>
      </c>
      <c r="V70">
        <v>7382</v>
      </c>
      <c r="W70">
        <v>7155</v>
      </c>
      <c r="X70">
        <v>7216</v>
      </c>
      <c r="Y70">
        <v>73450</v>
      </c>
      <c r="Z70">
        <v>-1</v>
      </c>
      <c r="AA70">
        <v>-146</v>
      </c>
      <c r="AB70">
        <v>0</v>
      </c>
      <c r="AC70">
        <v>0.6</v>
      </c>
      <c r="AD70">
        <v>-1</v>
      </c>
      <c r="AE70">
        <v>7206.125</v>
      </c>
      <c r="AF70">
        <v>7076.3</v>
      </c>
      <c r="AG70">
        <v>0</v>
      </c>
      <c r="AH70">
        <v>-1</v>
      </c>
      <c r="AI70">
        <v>0</v>
      </c>
      <c r="AJ70">
        <v>-1</v>
      </c>
      <c r="AK70">
        <v>-2</v>
      </c>
    </row>
    <row r="71" spans="1:37" x14ac:dyDescent="0.25">
      <c r="A71">
        <v>0</v>
      </c>
      <c r="B71">
        <v>0.5</v>
      </c>
      <c r="C71">
        <v>-1</v>
      </c>
      <c r="D71">
        <v>7201.5</v>
      </c>
      <c r="E71">
        <v>7091.25</v>
      </c>
      <c r="F71">
        <v>0</v>
      </c>
      <c r="G71">
        <v>-36</v>
      </c>
      <c r="H71">
        <v>-200</v>
      </c>
      <c r="I71">
        <v>-1</v>
      </c>
      <c r="J71">
        <v>-2</v>
      </c>
      <c r="K71">
        <v>472</v>
      </c>
      <c r="L71">
        <v>225</v>
      </c>
      <c r="T71">
        <v>20080818</v>
      </c>
      <c r="U71">
        <v>7180</v>
      </c>
      <c r="V71">
        <v>7222</v>
      </c>
      <c r="W71">
        <v>6956</v>
      </c>
      <c r="X71">
        <v>6980</v>
      </c>
      <c r="Y71">
        <v>76947</v>
      </c>
      <c r="Z71">
        <v>-36</v>
      </c>
      <c r="AA71">
        <v>-200</v>
      </c>
      <c r="AB71">
        <v>0</v>
      </c>
      <c r="AC71">
        <v>0.5</v>
      </c>
      <c r="AD71">
        <v>0</v>
      </c>
      <c r="AE71">
        <v>7201.5</v>
      </c>
      <c r="AF71">
        <v>7091.25</v>
      </c>
      <c r="AG71">
        <v>0</v>
      </c>
      <c r="AH71">
        <v>0</v>
      </c>
      <c r="AI71">
        <v>-1</v>
      </c>
      <c r="AJ71">
        <v>200</v>
      </c>
      <c r="AK71">
        <v>198</v>
      </c>
    </row>
    <row r="72" spans="1:37" x14ac:dyDescent="0.25">
      <c r="A72">
        <v>0</v>
      </c>
      <c r="B72">
        <v>0.5</v>
      </c>
      <c r="C72">
        <v>-1</v>
      </c>
      <c r="D72">
        <v>7192.75</v>
      </c>
      <c r="E72">
        <v>7087.7</v>
      </c>
      <c r="F72">
        <v>0</v>
      </c>
      <c r="G72">
        <v>-124</v>
      </c>
      <c r="H72">
        <v>80</v>
      </c>
      <c r="I72">
        <v>-1</v>
      </c>
      <c r="J72">
        <v>-2</v>
      </c>
      <c r="K72">
        <v>88</v>
      </c>
      <c r="L72">
        <v>313</v>
      </c>
      <c r="T72">
        <v>20080819</v>
      </c>
      <c r="U72">
        <v>6856</v>
      </c>
      <c r="V72">
        <v>6978</v>
      </c>
      <c r="W72">
        <v>6813</v>
      </c>
      <c r="X72">
        <v>6936</v>
      </c>
      <c r="Y72">
        <v>70745</v>
      </c>
      <c r="Z72">
        <v>-124</v>
      </c>
      <c r="AA72">
        <v>80</v>
      </c>
      <c r="AB72">
        <v>0</v>
      </c>
      <c r="AC72">
        <v>0.5</v>
      </c>
      <c r="AD72">
        <v>0</v>
      </c>
      <c r="AE72">
        <v>7192.75</v>
      </c>
      <c r="AF72">
        <v>7087.7</v>
      </c>
      <c r="AG72">
        <v>0</v>
      </c>
      <c r="AH72">
        <v>0</v>
      </c>
      <c r="AI72">
        <v>-1</v>
      </c>
      <c r="AJ72">
        <v>44</v>
      </c>
      <c r="AK72">
        <v>242</v>
      </c>
    </row>
    <row r="73" spans="1:37" x14ac:dyDescent="0.25">
      <c r="A73">
        <v>1</v>
      </c>
      <c r="B73">
        <v>0.5</v>
      </c>
      <c r="C73">
        <v>-1</v>
      </c>
      <c r="D73">
        <v>7166.5</v>
      </c>
      <c r="E73">
        <v>7088.3</v>
      </c>
      <c r="F73">
        <v>0</v>
      </c>
      <c r="G73">
        <v>-45</v>
      </c>
      <c r="H73">
        <v>88</v>
      </c>
      <c r="I73">
        <v>-1</v>
      </c>
      <c r="J73">
        <v>-2</v>
      </c>
      <c r="K73">
        <v>-86</v>
      </c>
      <c r="L73">
        <v>227</v>
      </c>
      <c r="T73">
        <v>20080820</v>
      </c>
      <c r="U73">
        <v>6891</v>
      </c>
      <c r="V73">
        <v>6994</v>
      </c>
      <c r="W73">
        <v>6825</v>
      </c>
      <c r="X73">
        <v>6979</v>
      </c>
      <c r="Y73">
        <v>44632</v>
      </c>
      <c r="Z73">
        <v>-45</v>
      </c>
      <c r="AA73">
        <v>88</v>
      </c>
      <c r="AB73">
        <v>1</v>
      </c>
      <c r="AC73">
        <v>0.5</v>
      </c>
      <c r="AD73">
        <v>0</v>
      </c>
      <c r="AE73">
        <v>7166.5</v>
      </c>
      <c r="AF73">
        <v>7088.3</v>
      </c>
      <c r="AG73">
        <v>0</v>
      </c>
      <c r="AH73">
        <v>0</v>
      </c>
      <c r="AI73">
        <v>-1</v>
      </c>
      <c r="AJ73">
        <v>-43</v>
      </c>
      <c r="AK73">
        <v>199</v>
      </c>
    </row>
    <row r="74" spans="1:37" x14ac:dyDescent="0.25">
      <c r="A74">
        <v>0</v>
      </c>
      <c r="B74">
        <v>0.5</v>
      </c>
      <c r="C74">
        <v>-1</v>
      </c>
      <c r="D74">
        <v>7115.125</v>
      </c>
      <c r="E74">
        <v>7072.9</v>
      </c>
      <c r="F74">
        <v>0</v>
      </c>
      <c r="G74">
        <v>-41</v>
      </c>
      <c r="H74">
        <v>-60</v>
      </c>
      <c r="I74">
        <v>-1</v>
      </c>
      <c r="J74">
        <v>-2</v>
      </c>
      <c r="K74">
        <v>202</v>
      </c>
      <c r="L74">
        <v>429</v>
      </c>
      <c r="T74">
        <v>20080821</v>
      </c>
      <c r="U74">
        <v>6938</v>
      </c>
      <c r="V74">
        <v>6958</v>
      </c>
      <c r="W74">
        <v>6855</v>
      </c>
      <c r="X74">
        <v>6878</v>
      </c>
      <c r="Y74">
        <v>62072</v>
      </c>
      <c r="Z74">
        <v>-41</v>
      </c>
      <c r="AA74">
        <v>-60</v>
      </c>
      <c r="AB74">
        <v>0</v>
      </c>
      <c r="AC74">
        <v>0.5</v>
      </c>
      <c r="AD74">
        <v>0</v>
      </c>
      <c r="AE74">
        <v>7115.125</v>
      </c>
      <c r="AF74">
        <v>7072.9</v>
      </c>
      <c r="AG74">
        <v>0</v>
      </c>
      <c r="AH74">
        <v>0</v>
      </c>
      <c r="AI74">
        <v>-1</v>
      </c>
      <c r="AJ74">
        <v>101</v>
      </c>
      <c r="AK74">
        <v>300</v>
      </c>
    </row>
    <row r="75" spans="1:37" x14ac:dyDescent="0.25">
      <c r="A75">
        <v>0</v>
      </c>
      <c r="B75">
        <v>0.4</v>
      </c>
      <c r="C75">
        <v>-1</v>
      </c>
      <c r="D75">
        <v>7064.5</v>
      </c>
      <c r="E75">
        <v>7050.95</v>
      </c>
      <c r="F75">
        <v>0</v>
      </c>
      <c r="G75">
        <v>-33</v>
      </c>
      <c r="H75">
        <v>20</v>
      </c>
      <c r="I75">
        <v>-1</v>
      </c>
      <c r="J75">
        <v>-2</v>
      </c>
      <c r="K75">
        <v>26</v>
      </c>
      <c r="L75">
        <v>455</v>
      </c>
      <c r="T75">
        <v>20080822</v>
      </c>
      <c r="U75">
        <v>6845</v>
      </c>
      <c r="V75">
        <v>6975</v>
      </c>
      <c r="W75">
        <v>6766</v>
      </c>
      <c r="X75">
        <v>6865</v>
      </c>
      <c r="Y75">
        <v>85586</v>
      </c>
      <c r="Z75">
        <v>-33</v>
      </c>
      <c r="AA75">
        <v>20</v>
      </c>
      <c r="AB75">
        <v>0</v>
      </c>
      <c r="AC75">
        <v>0.4</v>
      </c>
      <c r="AD75">
        <v>0</v>
      </c>
      <c r="AE75">
        <v>7064.5</v>
      </c>
      <c r="AF75">
        <v>7050.95</v>
      </c>
      <c r="AG75">
        <v>0</v>
      </c>
      <c r="AH75">
        <v>0</v>
      </c>
      <c r="AI75">
        <v>-1</v>
      </c>
      <c r="AJ75">
        <v>13</v>
      </c>
      <c r="AK75">
        <v>313</v>
      </c>
    </row>
    <row r="76" spans="1:37" x14ac:dyDescent="0.25">
      <c r="A76">
        <v>1</v>
      </c>
      <c r="B76">
        <v>0.4</v>
      </c>
      <c r="C76">
        <v>-1</v>
      </c>
      <c r="D76">
        <v>7025.625</v>
      </c>
      <c r="E76">
        <v>7041.85</v>
      </c>
      <c r="F76">
        <v>-1</v>
      </c>
      <c r="G76">
        <v>91</v>
      </c>
      <c r="H76">
        <v>32</v>
      </c>
      <c r="I76">
        <v>-1</v>
      </c>
      <c r="J76">
        <v>-2</v>
      </c>
      <c r="K76">
        <v>-246</v>
      </c>
      <c r="L76">
        <v>209</v>
      </c>
      <c r="T76">
        <v>20080825</v>
      </c>
      <c r="U76">
        <v>6956</v>
      </c>
      <c r="V76">
        <v>7037</v>
      </c>
      <c r="W76">
        <v>6896</v>
      </c>
      <c r="X76">
        <v>6988</v>
      </c>
      <c r="Y76">
        <v>58897</v>
      </c>
      <c r="Z76">
        <v>91</v>
      </c>
      <c r="AA76">
        <v>32</v>
      </c>
      <c r="AB76">
        <v>1</v>
      </c>
      <c r="AC76">
        <v>0.4</v>
      </c>
      <c r="AD76">
        <v>0</v>
      </c>
      <c r="AE76">
        <v>7025.625</v>
      </c>
      <c r="AF76">
        <v>7041.85</v>
      </c>
      <c r="AG76">
        <v>-1</v>
      </c>
      <c r="AH76">
        <v>-1</v>
      </c>
      <c r="AI76">
        <v>-1</v>
      </c>
      <c r="AJ76">
        <v>-123</v>
      </c>
      <c r="AK76">
        <v>190</v>
      </c>
    </row>
    <row r="77" spans="1:37" x14ac:dyDescent="0.25">
      <c r="A77">
        <v>0</v>
      </c>
      <c r="B77">
        <v>0.4</v>
      </c>
      <c r="C77">
        <v>-1</v>
      </c>
      <c r="D77">
        <v>6973.5</v>
      </c>
      <c r="E77">
        <v>7043.35</v>
      </c>
      <c r="F77">
        <v>0</v>
      </c>
      <c r="G77">
        <v>-79</v>
      </c>
      <c r="H77">
        <v>37</v>
      </c>
      <c r="I77">
        <v>-1</v>
      </c>
      <c r="J77">
        <v>-2</v>
      </c>
      <c r="K77">
        <v>84</v>
      </c>
      <c r="L77">
        <v>293</v>
      </c>
      <c r="T77">
        <v>20080826</v>
      </c>
      <c r="U77">
        <v>6909</v>
      </c>
      <c r="V77">
        <v>6962</v>
      </c>
      <c r="W77">
        <v>6885</v>
      </c>
      <c r="X77">
        <v>6946</v>
      </c>
      <c r="Y77">
        <v>47757</v>
      </c>
      <c r="Z77">
        <v>-79</v>
      </c>
      <c r="AA77">
        <v>37</v>
      </c>
      <c r="AB77">
        <v>0</v>
      </c>
      <c r="AC77">
        <v>0.4</v>
      </c>
      <c r="AD77">
        <v>0</v>
      </c>
      <c r="AE77">
        <v>6973.5</v>
      </c>
      <c r="AF77">
        <v>7043.35</v>
      </c>
      <c r="AG77">
        <v>0</v>
      </c>
      <c r="AH77">
        <v>0</v>
      </c>
      <c r="AI77">
        <v>-2</v>
      </c>
      <c r="AJ77">
        <v>5</v>
      </c>
      <c r="AK77">
        <v>195</v>
      </c>
    </row>
    <row r="78" spans="1:37" x14ac:dyDescent="0.25">
      <c r="A78">
        <v>1</v>
      </c>
      <c r="B78">
        <v>0.4</v>
      </c>
      <c r="C78">
        <v>-1</v>
      </c>
      <c r="D78">
        <v>6956.75</v>
      </c>
      <c r="E78">
        <v>7046.35</v>
      </c>
      <c r="F78">
        <v>0</v>
      </c>
      <c r="G78">
        <v>-17</v>
      </c>
      <c r="H78">
        <v>153</v>
      </c>
      <c r="I78">
        <v>-1</v>
      </c>
      <c r="J78">
        <v>-2</v>
      </c>
      <c r="K78">
        <v>-272</v>
      </c>
      <c r="L78">
        <v>21</v>
      </c>
      <c r="T78">
        <v>20080827</v>
      </c>
      <c r="U78">
        <v>6929</v>
      </c>
      <c r="V78">
        <v>7120</v>
      </c>
      <c r="W78">
        <v>6897</v>
      </c>
      <c r="X78">
        <v>7082</v>
      </c>
      <c r="Y78">
        <v>65941</v>
      </c>
      <c r="Z78">
        <v>-17</v>
      </c>
      <c r="AA78">
        <v>153</v>
      </c>
      <c r="AB78">
        <v>1</v>
      </c>
      <c r="AC78">
        <v>0.4</v>
      </c>
      <c r="AD78">
        <v>0</v>
      </c>
      <c r="AE78">
        <v>6956.75</v>
      </c>
      <c r="AF78">
        <v>7046.35</v>
      </c>
      <c r="AG78">
        <v>0</v>
      </c>
      <c r="AH78">
        <v>0</v>
      </c>
      <c r="AI78">
        <v>-2</v>
      </c>
      <c r="AJ78">
        <v>-272</v>
      </c>
      <c r="AK78">
        <v>-77</v>
      </c>
    </row>
    <row r="79" spans="1:37" x14ac:dyDescent="0.25">
      <c r="A79">
        <v>0</v>
      </c>
      <c r="B79">
        <v>0.3</v>
      </c>
      <c r="C79">
        <v>-1</v>
      </c>
      <c r="D79">
        <v>6964.375</v>
      </c>
      <c r="E79">
        <v>7048.5</v>
      </c>
      <c r="F79">
        <v>0</v>
      </c>
      <c r="G79">
        <v>-2</v>
      </c>
      <c r="H79">
        <v>-39</v>
      </c>
      <c r="I79">
        <v>-1</v>
      </c>
      <c r="J79">
        <v>-2</v>
      </c>
      <c r="K79">
        <v>82</v>
      </c>
      <c r="L79">
        <v>103</v>
      </c>
      <c r="T79">
        <v>20080828</v>
      </c>
      <c r="U79">
        <v>7080</v>
      </c>
      <c r="V79">
        <v>7138</v>
      </c>
      <c r="W79">
        <v>7034</v>
      </c>
      <c r="X79">
        <v>7041</v>
      </c>
      <c r="Y79">
        <v>55649</v>
      </c>
      <c r="Z79">
        <v>-2</v>
      </c>
      <c r="AA79">
        <v>-39</v>
      </c>
      <c r="AB79">
        <v>0</v>
      </c>
      <c r="AC79">
        <v>0.3</v>
      </c>
      <c r="AD79">
        <v>0</v>
      </c>
      <c r="AE79">
        <v>6964.375</v>
      </c>
      <c r="AF79">
        <v>7048.5</v>
      </c>
      <c r="AG79">
        <v>0</v>
      </c>
      <c r="AH79">
        <v>0</v>
      </c>
      <c r="AI79">
        <v>-2</v>
      </c>
      <c r="AJ79">
        <v>82</v>
      </c>
      <c r="AK79">
        <v>5</v>
      </c>
    </row>
    <row r="80" spans="1:37" x14ac:dyDescent="0.25">
      <c r="A80">
        <v>1</v>
      </c>
      <c r="B80">
        <v>0.4</v>
      </c>
      <c r="C80">
        <v>-1</v>
      </c>
      <c r="D80">
        <v>6979.125</v>
      </c>
      <c r="E80">
        <v>7055.5</v>
      </c>
      <c r="F80">
        <v>0</v>
      </c>
      <c r="G80">
        <v>59</v>
      </c>
      <c r="H80">
        <v>-46</v>
      </c>
      <c r="I80">
        <v>-1</v>
      </c>
      <c r="J80">
        <v>-2</v>
      </c>
      <c r="K80">
        <v>-26</v>
      </c>
      <c r="L80">
        <v>77</v>
      </c>
      <c r="T80">
        <v>20080829</v>
      </c>
      <c r="U80">
        <v>7100</v>
      </c>
      <c r="V80">
        <v>7138</v>
      </c>
      <c r="W80">
        <v>7011</v>
      </c>
      <c r="X80">
        <v>7054</v>
      </c>
      <c r="Y80">
        <v>59224</v>
      </c>
      <c r="Z80">
        <v>59</v>
      </c>
      <c r="AA80">
        <v>-46</v>
      </c>
      <c r="AB80">
        <v>1</v>
      </c>
      <c r="AC80">
        <v>0.4</v>
      </c>
      <c r="AD80">
        <v>0</v>
      </c>
      <c r="AE80">
        <v>6979.125</v>
      </c>
      <c r="AF80">
        <v>7055.5</v>
      </c>
      <c r="AG80">
        <v>0</v>
      </c>
      <c r="AH80">
        <v>0</v>
      </c>
      <c r="AI80">
        <v>-2</v>
      </c>
      <c r="AJ80">
        <v>-26</v>
      </c>
      <c r="AK80">
        <v>-21</v>
      </c>
    </row>
    <row r="81" spans="1:37" x14ac:dyDescent="0.25">
      <c r="A81">
        <v>0</v>
      </c>
      <c r="B81">
        <v>0.4</v>
      </c>
      <c r="C81">
        <v>-1</v>
      </c>
      <c r="D81">
        <v>6951.25</v>
      </c>
      <c r="E81">
        <v>7046.6</v>
      </c>
      <c r="F81">
        <v>0</v>
      </c>
      <c r="G81">
        <v>-74</v>
      </c>
      <c r="H81">
        <v>-224</v>
      </c>
      <c r="I81">
        <v>-1</v>
      </c>
      <c r="J81">
        <v>-2</v>
      </c>
      <c r="K81">
        <v>596</v>
      </c>
      <c r="L81">
        <v>673</v>
      </c>
      <c r="T81">
        <v>20080901</v>
      </c>
      <c r="U81">
        <v>6980</v>
      </c>
      <c r="V81">
        <v>6986</v>
      </c>
      <c r="W81">
        <v>6740</v>
      </c>
      <c r="X81">
        <v>6756</v>
      </c>
      <c r="Y81">
        <v>70388</v>
      </c>
      <c r="Z81">
        <v>-74</v>
      </c>
      <c r="AA81">
        <v>-224</v>
      </c>
      <c r="AB81">
        <v>0</v>
      </c>
      <c r="AC81">
        <v>0.4</v>
      </c>
      <c r="AD81">
        <v>0</v>
      </c>
      <c r="AE81">
        <v>6951.25</v>
      </c>
      <c r="AF81">
        <v>7046.6</v>
      </c>
      <c r="AG81">
        <v>0</v>
      </c>
      <c r="AH81">
        <v>0</v>
      </c>
      <c r="AI81">
        <v>-2</v>
      </c>
      <c r="AJ81">
        <v>596</v>
      </c>
      <c r="AK81">
        <v>575</v>
      </c>
    </row>
    <row r="82" spans="1:37" x14ac:dyDescent="0.25">
      <c r="A82">
        <v>0</v>
      </c>
      <c r="B82">
        <v>0.4</v>
      </c>
      <c r="C82">
        <v>-1</v>
      </c>
      <c r="D82">
        <v>6928.75</v>
      </c>
      <c r="E82">
        <v>7042.6</v>
      </c>
      <c r="F82">
        <v>0</v>
      </c>
      <c r="G82">
        <v>34</v>
      </c>
      <c r="H82">
        <v>-92</v>
      </c>
      <c r="I82">
        <v>-1</v>
      </c>
      <c r="J82">
        <v>-2</v>
      </c>
      <c r="K82">
        <v>116</v>
      </c>
      <c r="L82">
        <v>789</v>
      </c>
      <c r="T82">
        <v>20080902</v>
      </c>
      <c r="U82">
        <v>6790</v>
      </c>
      <c r="V82">
        <v>6797</v>
      </c>
      <c r="W82">
        <v>6652</v>
      </c>
      <c r="X82">
        <v>6698</v>
      </c>
      <c r="Y82">
        <v>74737</v>
      </c>
      <c r="Z82">
        <v>34</v>
      </c>
      <c r="AA82">
        <v>-92</v>
      </c>
      <c r="AB82">
        <v>0</v>
      </c>
      <c r="AC82">
        <v>0.4</v>
      </c>
      <c r="AD82">
        <v>0</v>
      </c>
      <c r="AE82">
        <v>6928.75</v>
      </c>
      <c r="AF82">
        <v>7042.6</v>
      </c>
      <c r="AG82">
        <v>0</v>
      </c>
      <c r="AH82">
        <v>0</v>
      </c>
      <c r="AI82">
        <v>-2</v>
      </c>
      <c r="AJ82">
        <v>116</v>
      </c>
      <c r="AK82">
        <v>691</v>
      </c>
    </row>
    <row r="83" spans="1:37" x14ac:dyDescent="0.25">
      <c r="A83">
        <v>0</v>
      </c>
      <c r="B83">
        <v>0.3</v>
      </c>
      <c r="C83">
        <v>-1</v>
      </c>
      <c r="D83">
        <v>6894.125</v>
      </c>
      <c r="E83">
        <v>7021.15</v>
      </c>
      <c r="F83">
        <v>0</v>
      </c>
      <c r="G83">
        <v>16</v>
      </c>
      <c r="H83">
        <v>-126</v>
      </c>
      <c r="I83">
        <v>-1</v>
      </c>
      <c r="J83">
        <v>-2</v>
      </c>
      <c r="K83">
        <v>220</v>
      </c>
      <c r="L83">
        <v>1009</v>
      </c>
      <c r="T83">
        <v>20080903</v>
      </c>
      <c r="U83">
        <v>6714</v>
      </c>
      <c r="V83">
        <v>6756</v>
      </c>
      <c r="W83">
        <v>6560</v>
      </c>
      <c r="X83">
        <v>6588</v>
      </c>
      <c r="Y83">
        <v>80450</v>
      </c>
      <c r="Z83">
        <v>16</v>
      </c>
      <c r="AA83">
        <v>-126</v>
      </c>
      <c r="AB83">
        <v>0</v>
      </c>
      <c r="AC83">
        <v>0.3</v>
      </c>
      <c r="AD83">
        <v>0</v>
      </c>
      <c r="AE83">
        <v>6894.125</v>
      </c>
      <c r="AF83">
        <v>7021.15</v>
      </c>
      <c r="AG83">
        <v>0</v>
      </c>
      <c r="AH83">
        <v>0</v>
      </c>
      <c r="AI83">
        <v>-2</v>
      </c>
      <c r="AJ83">
        <v>220</v>
      </c>
      <c r="AK83">
        <v>911</v>
      </c>
    </row>
    <row r="84" spans="1:37" x14ac:dyDescent="0.25">
      <c r="A84">
        <v>0</v>
      </c>
      <c r="B84">
        <v>0.3</v>
      </c>
      <c r="C84">
        <v>-1</v>
      </c>
      <c r="D84">
        <v>6820.25</v>
      </c>
      <c r="E84">
        <v>6990.7</v>
      </c>
      <c r="F84">
        <v>0</v>
      </c>
      <c r="G84">
        <v>-27</v>
      </c>
      <c r="H84">
        <v>-164</v>
      </c>
      <c r="I84">
        <v>-1</v>
      </c>
      <c r="J84">
        <v>-2</v>
      </c>
      <c r="K84">
        <v>382</v>
      </c>
      <c r="L84">
        <v>1391</v>
      </c>
      <c r="T84">
        <v>20080904</v>
      </c>
      <c r="U84">
        <v>6561</v>
      </c>
      <c r="V84">
        <v>6630</v>
      </c>
      <c r="W84">
        <v>6345</v>
      </c>
      <c r="X84">
        <v>6397</v>
      </c>
      <c r="Y84">
        <v>85011</v>
      </c>
      <c r="Z84">
        <v>-27</v>
      </c>
      <c r="AA84">
        <v>-164</v>
      </c>
      <c r="AB84">
        <v>0</v>
      </c>
      <c r="AC84">
        <v>0.3</v>
      </c>
      <c r="AD84">
        <v>0</v>
      </c>
      <c r="AE84">
        <v>6820.25</v>
      </c>
      <c r="AF84">
        <v>6990.7</v>
      </c>
      <c r="AG84">
        <v>0</v>
      </c>
      <c r="AH84">
        <v>0</v>
      </c>
      <c r="AI84">
        <v>-2</v>
      </c>
      <c r="AJ84">
        <v>382</v>
      </c>
      <c r="AK84">
        <v>1293</v>
      </c>
    </row>
    <row r="85" spans="1:37" x14ac:dyDescent="0.25">
      <c r="A85">
        <v>0</v>
      </c>
      <c r="B85">
        <v>0.3</v>
      </c>
      <c r="C85">
        <v>-1</v>
      </c>
      <c r="D85">
        <v>6732.5</v>
      </c>
      <c r="E85">
        <v>6943.45</v>
      </c>
      <c r="F85">
        <v>0</v>
      </c>
      <c r="G85">
        <v>-162</v>
      </c>
      <c r="H85">
        <v>9</v>
      </c>
      <c r="I85">
        <v>-1</v>
      </c>
      <c r="J85">
        <v>-2</v>
      </c>
      <c r="K85">
        <v>306</v>
      </c>
      <c r="L85">
        <v>1697</v>
      </c>
      <c r="T85">
        <v>20080905</v>
      </c>
      <c r="U85">
        <v>6235</v>
      </c>
      <c r="V85">
        <v>6330</v>
      </c>
      <c r="W85">
        <v>6203</v>
      </c>
      <c r="X85">
        <v>6244</v>
      </c>
      <c r="Y85">
        <v>69239</v>
      </c>
      <c r="Z85">
        <v>-162</v>
      </c>
      <c r="AA85">
        <v>9</v>
      </c>
      <c r="AB85">
        <v>0</v>
      </c>
      <c r="AC85">
        <v>0.3</v>
      </c>
      <c r="AD85">
        <v>0</v>
      </c>
      <c r="AE85">
        <v>6732.5</v>
      </c>
      <c r="AF85">
        <v>6943.45</v>
      </c>
      <c r="AG85">
        <v>0</v>
      </c>
      <c r="AH85">
        <v>0</v>
      </c>
      <c r="AI85">
        <v>-2</v>
      </c>
      <c r="AJ85">
        <v>306</v>
      </c>
      <c r="AK85">
        <v>1599</v>
      </c>
    </row>
    <row r="86" spans="1:37" x14ac:dyDescent="0.25">
      <c r="A86">
        <v>1</v>
      </c>
      <c r="B86">
        <v>0.3</v>
      </c>
      <c r="C86">
        <v>-1</v>
      </c>
      <c r="D86">
        <v>6681.875</v>
      </c>
      <c r="E86">
        <v>6912.85</v>
      </c>
      <c r="F86">
        <v>0</v>
      </c>
      <c r="G86">
        <v>243</v>
      </c>
      <c r="H86">
        <v>190</v>
      </c>
      <c r="I86">
        <v>-1</v>
      </c>
      <c r="J86">
        <v>-2</v>
      </c>
      <c r="K86">
        <v>-866</v>
      </c>
      <c r="L86">
        <v>831</v>
      </c>
      <c r="T86">
        <v>20080908</v>
      </c>
      <c r="U86">
        <v>6487</v>
      </c>
      <c r="V86">
        <v>6677</v>
      </c>
      <c r="W86">
        <v>6481</v>
      </c>
      <c r="X86">
        <v>6677</v>
      </c>
      <c r="Y86">
        <v>59242</v>
      </c>
      <c r="Z86">
        <v>243</v>
      </c>
      <c r="AA86">
        <v>190</v>
      </c>
      <c r="AB86">
        <v>1</v>
      </c>
      <c r="AC86">
        <v>0.3</v>
      </c>
      <c r="AD86">
        <v>0</v>
      </c>
      <c r="AE86">
        <v>6681.875</v>
      </c>
      <c r="AF86">
        <v>6912.85</v>
      </c>
      <c r="AG86">
        <v>0</v>
      </c>
      <c r="AH86">
        <v>0</v>
      </c>
      <c r="AI86">
        <v>-2</v>
      </c>
      <c r="AJ86">
        <v>-866</v>
      </c>
      <c r="AK86">
        <v>733</v>
      </c>
    </row>
    <row r="87" spans="1:37" x14ac:dyDescent="0.25">
      <c r="A87">
        <v>0</v>
      </c>
      <c r="B87">
        <v>0.3</v>
      </c>
      <c r="C87">
        <v>-1</v>
      </c>
      <c r="D87">
        <v>6610</v>
      </c>
      <c r="E87">
        <v>6872.65</v>
      </c>
      <c r="F87">
        <v>0</v>
      </c>
      <c r="G87">
        <v>-83</v>
      </c>
      <c r="H87">
        <v>-128</v>
      </c>
      <c r="I87">
        <v>-1</v>
      </c>
      <c r="J87">
        <v>-2</v>
      </c>
      <c r="K87">
        <v>422</v>
      </c>
      <c r="L87">
        <v>1253</v>
      </c>
      <c r="T87">
        <v>20080909</v>
      </c>
      <c r="U87">
        <v>6594</v>
      </c>
      <c r="V87">
        <v>6618</v>
      </c>
      <c r="W87">
        <v>6390</v>
      </c>
      <c r="X87">
        <v>6466</v>
      </c>
      <c r="Y87">
        <v>74030</v>
      </c>
      <c r="Z87">
        <v>-83</v>
      </c>
      <c r="AA87">
        <v>-128</v>
      </c>
      <c r="AB87">
        <v>0</v>
      </c>
      <c r="AC87">
        <v>0.3</v>
      </c>
      <c r="AD87">
        <v>0</v>
      </c>
      <c r="AE87">
        <v>6610</v>
      </c>
      <c r="AF87">
        <v>6872.65</v>
      </c>
      <c r="AG87">
        <v>0</v>
      </c>
      <c r="AH87">
        <v>0</v>
      </c>
      <c r="AI87">
        <v>-2</v>
      </c>
      <c r="AJ87">
        <v>422</v>
      </c>
      <c r="AK87">
        <v>1155</v>
      </c>
    </row>
    <row r="88" spans="1:37" x14ac:dyDescent="0.25">
      <c r="A88">
        <v>0</v>
      </c>
      <c r="B88">
        <v>0.2</v>
      </c>
      <c r="C88">
        <v>-1</v>
      </c>
      <c r="D88">
        <v>6534.875</v>
      </c>
      <c r="E88">
        <v>6830.35</v>
      </c>
      <c r="F88">
        <v>0</v>
      </c>
      <c r="G88">
        <v>-115</v>
      </c>
      <c r="H88">
        <v>102</v>
      </c>
      <c r="I88">
        <v>-1</v>
      </c>
      <c r="J88">
        <v>-2</v>
      </c>
      <c r="K88">
        <v>26</v>
      </c>
      <c r="L88">
        <v>1279</v>
      </c>
      <c r="T88">
        <v>20080910</v>
      </c>
      <c r="U88">
        <v>6351</v>
      </c>
      <c r="V88">
        <v>6516</v>
      </c>
      <c r="W88">
        <v>6345</v>
      </c>
      <c r="X88">
        <v>6453</v>
      </c>
      <c r="Y88">
        <v>85572</v>
      </c>
      <c r="Z88">
        <v>-115</v>
      </c>
      <c r="AA88">
        <v>102</v>
      </c>
      <c r="AB88">
        <v>0</v>
      </c>
      <c r="AC88">
        <v>0.2</v>
      </c>
      <c r="AD88">
        <v>1</v>
      </c>
      <c r="AE88">
        <v>6534.875</v>
      </c>
      <c r="AF88">
        <v>6830.35</v>
      </c>
      <c r="AG88">
        <v>0</v>
      </c>
      <c r="AH88">
        <v>1</v>
      </c>
      <c r="AI88">
        <v>-2</v>
      </c>
      <c r="AJ88">
        <v>26</v>
      </c>
      <c r="AK88">
        <v>1181</v>
      </c>
    </row>
    <row r="89" spans="1:37" x14ac:dyDescent="0.25">
      <c r="A89">
        <v>0</v>
      </c>
      <c r="B89">
        <v>0.2</v>
      </c>
      <c r="C89">
        <v>-1</v>
      </c>
      <c r="D89">
        <v>6469.125</v>
      </c>
      <c r="E89">
        <v>6773.7</v>
      </c>
      <c r="F89">
        <v>0</v>
      </c>
      <c r="G89">
        <v>-16</v>
      </c>
      <c r="H89">
        <v>-207</v>
      </c>
      <c r="I89">
        <v>-1</v>
      </c>
      <c r="J89">
        <v>-2</v>
      </c>
      <c r="K89">
        <v>446</v>
      </c>
      <c r="L89">
        <v>1725</v>
      </c>
      <c r="T89">
        <v>20080911</v>
      </c>
      <c r="U89">
        <v>6437</v>
      </c>
      <c r="V89">
        <v>6438</v>
      </c>
      <c r="W89">
        <v>6203</v>
      </c>
      <c r="X89">
        <v>6230</v>
      </c>
      <c r="Y89">
        <v>82808</v>
      </c>
      <c r="Z89">
        <v>-16</v>
      </c>
      <c r="AA89">
        <v>-207</v>
      </c>
      <c r="AB89">
        <v>0</v>
      </c>
      <c r="AC89">
        <v>0.2</v>
      </c>
      <c r="AD89">
        <v>1</v>
      </c>
      <c r="AE89">
        <v>6469.125</v>
      </c>
      <c r="AF89">
        <v>6773.7</v>
      </c>
      <c r="AG89">
        <v>0</v>
      </c>
      <c r="AH89">
        <v>1</v>
      </c>
      <c r="AI89">
        <v>-1</v>
      </c>
      <c r="AJ89">
        <v>239</v>
      </c>
      <c r="AK89">
        <v>1420</v>
      </c>
    </row>
    <row r="90" spans="1:37" x14ac:dyDescent="0.25">
      <c r="A90">
        <v>1</v>
      </c>
      <c r="B90">
        <v>0.2</v>
      </c>
      <c r="C90">
        <v>-1</v>
      </c>
      <c r="D90">
        <v>6417.875</v>
      </c>
      <c r="E90">
        <v>6727.3</v>
      </c>
      <c r="F90">
        <v>0</v>
      </c>
      <c r="G90">
        <v>124</v>
      </c>
      <c r="H90">
        <v>-66</v>
      </c>
      <c r="I90">
        <v>-1</v>
      </c>
      <c r="J90">
        <v>-2</v>
      </c>
      <c r="K90">
        <v>-116</v>
      </c>
      <c r="L90">
        <v>1609</v>
      </c>
      <c r="T90">
        <v>20080912</v>
      </c>
      <c r="U90">
        <v>6354</v>
      </c>
      <c r="V90">
        <v>6369</v>
      </c>
      <c r="W90">
        <v>6153</v>
      </c>
      <c r="X90">
        <v>6288</v>
      </c>
      <c r="Y90">
        <v>86372</v>
      </c>
      <c r="Z90">
        <v>124</v>
      </c>
      <c r="AA90">
        <v>-66</v>
      </c>
      <c r="AB90">
        <v>1</v>
      </c>
      <c r="AC90">
        <v>0.2</v>
      </c>
      <c r="AD90">
        <v>1</v>
      </c>
      <c r="AE90">
        <v>6417.875</v>
      </c>
      <c r="AF90">
        <v>6727.3</v>
      </c>
      <c r="AG90">
        <v>0</v>
      </c>
      <c r="AH90">
        <v>1</v>
      </c>
      <c r="AI90">
        <v>0</v>
      </c>
      <c r="AJ90">
        <v>-124</v>
      </c>
      <c r="AK90">
        <v>1296</v>
      </c>
    </row>
    <row r="91" spans="1:37" x14ac:dyDescent="0.25">
      <c r="A91">
        <v>0</v>
      </c>
      <c r="B91">
        <v>0.2</v>
      </c>
      <c r="C91">
        <v>-1</v>
      </c>
      <c r="D91">
        <v>6340.25</v>
      </c>
      <c r="E91">
        <v>6676.65</v>
      </c>
      <c r="F91">
        <v>0</v>
      </c>
      <c r="G91">
        <v>-158</v>
      </c>
      <c r="H91">
        <v>-163</v>
      </c>
      <c r="I91">
        <v>-1</v>
      </c>
      <c r="J91">
        <v>-2</v>
      </c>
      <c r="K91">
        <v>642</v>
      </c>
      <c r="L91">
        <v>2251</v>
      </c>
      <c r="T91">
        <v>20080915</v>
      </c>
      <c r="U91">
        <v>6130</v>
      </c>
      <c r="V91">
        <v>6190</v>
      </c>
      <c r="W91">
        <v>5863</v>
      </c>
      <c r="X91">
        <v>5967</v>
      </c>
      <c r="Y91">
        <v>79849</v>
      </c>
      <c r="Z91">
        <v>-158</v>
      </c>
      <c r="AA91">
        <v>-163</v>
      </c>
      <c r="AB91">
        <v>0</v>
      </c>
      <c r="AC91">
        <v>0.2</v>
      </c>
      <c r="AD91">
        <v>1</v>
      </c>
      <c r="AE91">
        <v>6340.25</v>
      </c>
      <c r="AF91">
        <v>6676.65</v>
      </c>
      <c r="AG91">
        <v>0</v>
      </c>
      <c r="AH91">
        <v>1</v>
      </c>
      <c r="AI91">
        <v>1</v>
      </c>
      <c r="AJ91">
        <v>-163</v>
      </c>
      <c r="AK91">
        <v>1133</v>
      </c>
    </row>
    <row r="92" spans="1:37" x14ac:dyDescent="0.25">
      <c r="A92">
        <v>0</v>
      </c>
      <c r="B92">
        <v>0.2</v>
      </c>
      <c r="C92">
        <v>-1</v>
      </c>
      <c r="D92">
        <v>6251.25</v>
      </c>
      <c r="E92">
        <v>6614.1</v>
      </c>
      <c r="F92">
        <v>0</v>
      </c>
      <c r="G92">
        <v>-118</v>
      </c>
      <c r="H92">
        <v>-164</v>
      </c>
      <c r="I92">
        <v>-1</v>
      </c>
      <c r="J92">
        <v>-2</v>
      </c>
      <c r="K92">
        <v>564</v>
      </c>
      <c r="L92">
        <v>2815</v>
      </c>
      <c r="T92">
        <v>20080916</v>
      </c>
      <c r="U92">
        <v>5849</v>
      </c>
      <c r="V92">
        <v>5858</v>
      </c>
      <c r="W92">
        <v>5679</v>
      </c>
      <c r="X92">
        <v>5685</v>
      </c>
      <c r="Y92">
        <v>87342</v>
      </c>
      <c r="Z92">
        <v>-118</v>
      </c>
      <c r="AA92">
        <v>-164</v>
      </c>
      <c r="AB92">
        <v>0</v>
      </c>
      <c r="AC92">
        <v>0.2</v>
      </c>
      <c r="AD92">
        <v>1</v>
      </c>
      <c r="AE92">
        <v>6251.25</v>
      </c>
      <c r="AF92">
        <v>6614.1</v>
      </c>
      <c r="AG92">
        <v>0</v>
      </c>
      <c r="AH92">
        <v>1</v>
      </c>
      <c r="AI92">
        <v>2</v>
      </c>
      <c r="AJ92">
        <v>-446</v>
      </c>
      <c r="AK92">
        <v>687</v>
      </c>
    </row>
    <row r="93" spans="1:37" x14ac:dyDescent="0.25">
      <c r="A93">
        <v>1</v>
      </c>
      <c r="B93">
        <v>0.3</v>
      </c>
      <c r="C93">
        <v>-1</v>
      </c>
      <c r="D93">
        <v>6188.875</v>
      </c>
      <c r="E93">
        <v>6552.4</v>
      </c>
      <c r="F93">
        <v>0</v>
      </c>
      <c r="G93">
        <v>260</v>
      </c>
      <c r="H93">
        <v>-200</v>
      </c>
      <c r="I93">
        <v>-1</v>
      </c>
      <c r="J93">
        <v>-2</v>
      </c>
      <c r="K93">
        <v>-120</v>
      </c>
      <c r="L93">
        <v>2695</v>
      </c>
      <c r="T93">
        <v>20080917</v>
      </c>
      <c r="U93">
        <v>5945</v>
      </c>
      <c r="V93">
        <v>5955</v>
      </c>
      <c r="W93">
        <v>5691</v>
      </c>
      <c r="X93">
        <v>5745</v>
      </c>
      <c r="Y93">
        <v>55404</v>
      </c>
      <c r="Z93">
        <v>260</v>
      </c>
      <c r="AA93">
        <v>-200</v>
      </c>
      <c r="AB93">
        <v>1</v>
      </c>
      <c r="AC93">
        <v>0.3</v>
      </c>
      <c r="AD93">
        <v>0</v>
      </c>
      <c r="AE93">
        <v>6188.875</v>
      </c>
      <c r="AF93">
        <v>6552.4</v>
      </c>
      <c r="AG93">
        <v>0</v>
      </c>
      <c r="AH93">
        <v>0</v>
      </c>
      <c r="AI93">
        <v>2</v>
      </c>
      <c r="AJ93">
        <v>120</v>
      </c>
      <c r="AK93">
        <v>807</v>
      </c>
    </row>
    <row r="94" spans="1:37" x14ac:dyDescent="0.25">
      <c r="A94">
        <v>0</v>
      </c>
      <c r="B94">
        <v>0.3</v>
      </c>
      <c r="C94">
        <v>-1</v>
      </c>
      <c r="D94">
        <v>6044.5</v>
      </c>
      <c r="E94">
        <v>6484.6</v>
      </c>
      <c r="F94">
        <v>0</v>
      </c>
      <c r="G94">
        <v>-194</v>
      </c>
      <c r="H94">
        <v>-29</v>
      </c>
      <c r="I94">
        <v>-1</v>
      </c>
      <c r="J94">
        <v>-2</v>
      </c>
      <c r="K94">
        <v>446</v>
      </c>
      <c r="L94">
        <v>3141</v>
      </c>
      <c r="T94">
        <v>20080918</v>
      </c>
      <c r="U94">
        <v>5551</v>
      </c>
      <c r="V94">
        <v>5590</v>
      </c>
      <c r="W94">
        <v>5416</v>
      </c>
      <c r="X94">
        <v>5522</v>
      </c>
      <c r="Y94">
        <v>104742</v>
      </c>
      <c r="Z94">
        <v>-194</v>
      </c>
      <c r="AA94">
        <v>-29</v>
      </c>
      <c r="AB94">
        <v>0</v>
      </c>
      <c r="AC94">
        <v>0.3</v>
      </c>
      <c r="AD94">
        <v>0</v>
      </c>
      <c r="AE94">
        <v>6044.5</v>
      </c>
      <c r="AF94">
        <v>6484.6</v>
      </c>
      <c r="AG94">
        <v>0</v>
      </c>
      <c r="AH94">
        <v>0</v>
      </c>
      <c r="AI94">
        <v>2</v>
      </c>
      <c r="AJ94">
        <v>-446</v>
      </c>
      <c r="AK94">
        <v>361</v>
      </c>
    </row>
    <row r="95" spans="1:37" x14ac:dyDescent="0.25">
      <c r="A95">
        <v>1</v>
      </c>
      <c r="B95">
        <v>0.4</v>
      </c>
      <c r="C95">
        <v>-1</v>
      </c>
      <c r="D95">
        <v>5974.75</v>
      </c>
      <c r="E95">
        <v>6436.75</v>
      </c>
      <c r="F95">
        <v>0</v>
      </c>
      <c r="G95">
        <v>284</v>
      </c>
      <c r="H95">
        <v>102</v>
      </c>
      <c r="I95">
        <v>-1</v>
      </c>
      <c r="J95">
        <v>-2</v>
      </c>
      <c r="K95">
        <v>-772</v>
      </c>
      <c r="L95">
        <v>2369</v>
      </c>
      <c r="T95">
        <v>20080919</v>
      </c>
      <c r="U95">
        <v>5806</v>
      </c>
      <c r="V95">
        <v>5908</v>
      </c>
      <c r="W95">
        <v>5785</v>
      </c>
      <c r="X95">
        <v>5908</v>
      </c>
      <c r="Y95">
        <v>42325</v>
      </c>
      <c r="Z95">
        <v>284</v>
      </c>
      <c r="AA95">
        <v>102</v>
      </c>
      <c r="AB95">
        <v>1</v>
      </c>
      <c r="AC95">
        <v>0.4</v>
      </c>
      <c r="AD95">
        <v>0</v>
      </c>
      <c r="AE95">
        <v>5974.75</v>
      </c>
      <c r="AF95">
        <v>6436.75</v>
      </c>
      <c r="AG95">
        <v>0</v>
      </c>
      <c r="AH95">
        <v>0</v>
      </c>
      <c r="AI95">
        <v>2</v>
      </c>
      <c r="AJ95">
        <v>772</v>
      </c>
      <c r="AK95">
        <v>1133</v>
      </c>
    </row>
    <row r="96" spans="1:37" x14ac:dyDescent="0.25">
      <c r="A96">
        <v>1</v>
      </c>
      <c r="B96">
        <v>0.4</v>
      </c>
      <c r="C96">
        <v>-1</v>
      </c>
      <c r="D96">
        <v>5929.25</v>
      </c>
      <c r="E96">
        <v>6391.8</v>
      </c>
      <c r="F96">
        <v>0</v>
      </c>
      <c r="G96">
        <v>212</v>
      </c>
      <c r="H96">
        <v>-31</v>
      </c>
      <c r="I96">
        <v>-1</v>
      </c>
      <c r="J96">
        <v>-2</v>
      </c>
      <c r="K96">
        <v>-362</v>
      </c>
      <c r="L96">
        <v>2007</v>
      </c>
      <c r="T96">
        <v>20080922</v>
      </c>
      <c r="U96">
        <v>6120</v>
      </c>
      <c r="V96">
        <v>6122</v>
      </c>
      <c r="W96">
        <v>5956</v>
      </c>
      <c r="X96">
        <v>6089</v>
      </c>
      <c r="Y96">
        <v>79567</v>
      </c>
      <c r="Z96">
        <v>212</v>
      </c>
      <c r="AA96">
        <v>-31</v>
      </c>
      <c r="AB96">
        <v>1</v>
      </c>
      <c r="AC96">
        <v>0.4</v>
      </c>
      <c r="AD96">
        <v>0</v>
      </c>
      <c r="AE96">
        <v>5929.25</v>
      </c>
      <c r="AF96">
        <v>6391.8</v>
      </c>
      <c r="AG96">
        <v>0</v>
      </c>
      <c r="AH96">
        <v>0</v>
      </c>
      <c r="AI96">
        <v>2</v>
      </c>
      <c r="AJ96">
        <v>362</v>
      </c>
      <c r="AK96">
        <v>1495</v>
      </c>
    </row>
    <row r="97" spans="1:37" x14ac:dyDescent="0.25">
      <c r="A97">
        <v>1</v>
      </c>
      <c r="B97">
        <v>0.5</v>
      </c>
      <c r="C97">
        <v>-1</v>
      </c>
      <c r="D97">
        <v>5917.375</v>
      </c>
      <c r="E97">
        <v>6351.25</v>
      </c>
      <c r="F97">
        <v>0</v>
      </c>
      <c r="G97">
        <v>-59</v>
      </c>
      <c r="H97">
        <v>105</v>
      </c>
      <c r="I97">
        <v>-1</v>
      </c>
      <c r="J97">
        <v>-2</v>
      </c>
      <c r="K97">
        <v>-92</v>
      </c>
      <c r="L97">
        <v>1915</v>
      </c>
      <c r="T97">
        <v>20080923</v>
      </c>
      <c r="U97">
        <v>6030</v>
      </c>
      <c r="V97">
        <v>6150</v>
      </c>
      <c r="W97">
        <v>5995</v>
      </c>
      <c r="X97">
        <v>6135</v>
      </c>
      <c r="Y97">
        <v>72428</v>
      </c>
      <c r="Z97">
        <v>-59</v>
      </c>
      <c r="AA97">
        <v>105</v>
      </c>
      <c r="AB97">
        <v>1</v>
      </c>
      <c r="AC97">
        <v>0.5</v>
      </c>
      <c r="AD97">
        <v>0</v>
      </c>
      <c r="AE97">
        <v>5917.375</v>
      </c>
      <c r="AF97">
        <v>6351.25</v>
      </c>
      <c r="AG97">
        <v>0</v>
      </c>
      <c r="AH97">
        <v>0</v>
      </c>
      <c r="AI97">
        <v>2</v>
      </c>
      <c r="AJ97">
        <v>92</v>
      </c>
      <c r="AK97">
        <v>1587</v>
      </c>
    </row>
    <row r="98" spans="1:37" x14ac:dyDescent="0.25">
      <c r="A98">
        <v>1</v>
      </c>
      <c r="B98">
        <v>0.6</v>
      </c>
      <c r="C98">
        <v>-1</v>
      </c>
      <c r="D98">
        <v>5900.75</v>
      </c>
      <c r="E98">
        <v>6304.9</v>
      </c>
      <c r="F98">
        <v>0</v>
      </c>
      <c r="G98">
        <v>-18</v>
      </c>
      <c r="H98">
        <v>38</v>
      </c>
      <c r="I98">
        <v>-1</v>
      </c>
      <c r="J98">
        <v>-2</v>
      </c>
      <c r="K98">
        <v>-40</v>
      </c>
      <c r="L98">
        <v>1875</v>
      </c>
      <c r="T98">
        <v>20080924</v>
      </c>
      <c r="U98">
        <v>6117</v>
      </c>
      <c r="V98">
        <v>6195</v>
      </c>
      <c r="W98">
        <v>6075</v>
      </c>
      <c r="X98">
        <v>6155</v>
      </c>
      <c r="Y98">
        <v>78510</v>
      </c>
      <c r="Z98">
        <v>-18</v>
      </c>
      <c r="AA98">
        <v>38</v>
      </c>
      <c r="AB98">
        <v>1</v>
      </c>
      <c r="AC98">
        <v>0.6</v>
      </c>
      <c r="AD98">
        <v>-1</v>
      </c>
      <c r="AE98">
        <v>5900.75</v>
      </c>
      <c r="AF98">
        <v>6304.9</v>
      </c>
      <c r="AG98">
        <v>0</v>
      </c>
      <c r="AH98">
        <v>-1</v>
      </c>
      <c r="AI98">
        <v>2</v>
      </c>
      <c r="AJ98">
        <v>40</v>
      </c>
      <c r="AK98">
        <v>1627</v>
      </c>
    </row>
    <row r="99" spans="1:37" x14ac:dyDescent="0.25">
      <c r="A99">
        <v>0</v>
      </c>
      <c r="B99">
        <v>0.6</v>
      </c>
      <c r="C99">
        <v>-1</v>
      </c>
      <c r="D99">
        <v>5912.125</v>
      </c>
      <c r="E99">
        <v>6255.75</v>
      </c>
      <c r="F99">
        <v>0</v>
      </c>
      <c r="G99">
        <v>-155</v>
      </c>
      <c r="H99">
        <v>58</v>
      </c>
      <c r="I99">
        <v>-1</v>
      </c>
      <c r="J99">
        <v>-2</v>
      </c>
      <c r="K99">
        <v>194</v>
      </c>
      <c r="L99">
        <v>2069</v>
      </c>
      <c r="T99">
        <v>20080925</v>
      </c>
      <c r="U99">
        <v>6000</v>
      </c>
      <c r="V99">
        <v>6159</v>
      </c>
      <c r="W99">
        <v>5961</v>
      </c>
      <c r="X99">
        <v>6058</v>
      </c>
      <c r="Y99">
        <v>77756</v>
      </c>
      <c r="Z99">
        <v>-155</v>
      </c>
      <c r="AA99">
        <v>58</v>
      </c>
      <c r="AB99">
        <v>0</v>
      </c>
      <c r="AC99">
        <v>0.6</v>
      </c>
      <c r="AD99">
        <v>-1</v>
      </c>
      <c r="AE99">
        <v>5912.125</v>
      </c>
      <c r="AF99">
        <v>6255.75</v>
      </c>
      <c r="AG99">
        <v>0</v>
      </c>
      <c r="AH99">
        <v>-1</v>
      </c>
      <c r="AI99">
        <v>1</v>
      </c>
      <c r="AJ99">
        <v>-252</v>
      </c>
      <c r="AK99">
        <v>1375</v>
      </c>
    </row>
    <row r="100" spans="1:37" x14ac:dyDescent="0.25">
      <c r="A100">
        <v>0</v>
      </c>
      <c r="B100">
        <v>0.5</v>
      </c>
      <c r="C100">
        <v>-1</v>
      </c>
      <c r="D100">
        <v>5934.75</v>
      </c>
      <c r="E100">
        <v>6196.35</v>
      </c>
      <c r="F100">
        <v>0</v>
      </c>
      <c r="G100">
        <v>-8</v>
      </c>
      <c r="H100">
        <v>-184</v>
      </c>
      <c r="I100">
        <v>-1</v>
      </c>
      <c r="J100">
        <v>-2</v>
      </c>
      <c r="K100">
        <v>384</v>
      </c>
      <c r="L100">
        <v>2453</v>
      </c>
      <c r="T100">
        <v>20080926</v>
      </c>
      <c r="U100">
        <v>6050</v>
      </c>
      <c r="V100">
        <v>6061</v>
      </c>
      <c r="W100">
        <v>5819</v>
      </c>
      <c r="X100">
        <v>5866</v>
      </c>
      <c r="Y100">
        <v>83524</v>
      </c>
      <c r="Z100">
        <v>-8</v>
      </c>
      <c r="AA100">
        <v>-184</v>
      </c>
      <c r="AB100">
        <v>0</v>
      </c>
      <c r="AC100">
        <v>0.5</v>
      </c>
      <c r="AD100">
        <v>0</v>
      </c>
      <c r="AE100">
        <v>5934.75</v>
      </c>
      <c r="AF100">
        <v>6196.35</v>
      </c>
      <c r="AG100">
        <v>0</v>
      </c>
      <c r="AH100">
        <v>0</v>
      </c>
      <c r="AI100">
        <v>0</v>
      </c>
      <c r="AJ100">
        <v>-8</v>
      </c>
      <c r="AK100">
        <v>1367</v>
      </c>
    </row>
    <row r="101" spans="1:37" x14ac:dyDescent="0.25">
      <c r="A101">
        <v>0</v>
      </c>
      <c r="B101">
        <v>0.5</v>
      </c>
      <c r="C101">
        <v>-1</v>
      </c>
      <c r="D101">
        <v>5910.25</v>
      </c>
      <c r="E101">
        <v>6136</v>
      </c>
      <c r="F101">
        <v>0</v>
      </c>
      <c r="G101">
        <v>-407</v>
      </c>
      <c r="H101">
        <v>90</v>
      </c>
      <c r="I101">
        <v>-1</v>
      </c>
      <c r="J101">
        <v>-2</v>
      </c>
      <c r="K101">
        <v>634</v>
      </c>
      <c r="L101">
        <v>3087</v>
      </c>
      <c r="T101">
        <v>20080930</v>
      </c>
      <c r="U101">
        <v>5459</v>
      </c>
      <c r="V101">
        <v>5587</v>
      </c>
      <c r="W101">
        <v>5459</v>
      </c>
      <c r="X101">
        <v>5549</v>
      </c>
      <c r="Y101">
        <v>51309</v>
      </c>
      <c r="Z101">
        <v>-407</v>
      </c>
      <c r="AA101">
        <v>90</v>
      </c>
      <c r="AB101">
        <v>0</v>
      </c>
      <c r="AC101">
        <v>0.5</v>
      </c>
      <c r="AD101">
        <v>0</v>
      </c>
      <c r="AE101">
        <v>5910.25</v>
      </c>
      <c r="AF101">
        <v>6136</v>
      </c>
      <c r="AG101">
        <v>0</v>
      </c>
      <c r="AH101">
        <v>0</v>
      </c>
      <c r="AI101">
        <v>0</v>
      </c>
      <c r="AJ101">
        <v>0</v>
      </c>
      <c r="AK101">
        <v>1367</v>
      </c>
    </row>
    <row r="102" spans="1:37" x14ac:dyDescent="0.25">
      <c r="A102">
        <v>1</v>
      </c>
      <c r="B102">
        <v>0.6</v>
      </c>
      <c r="C102">
        <v>-1</v>
      </c>
      <c r="D102">
        <v>5929.5</v>
      </c>
      <c r="E102">
        <v>6084.9</v>
      </c>
      <c r="F102">
        <v>0</v>
      </c>
      <c r="G102">
        <v>50</v>
      </c>
      <c r="H102">
        <v>77</v>
      </c>
      <c r="I102">
        <v>-1</v>
      </c>
      <c r="J102">
        <v>-2</v>
      </c>
      <c r="K102">
        <v>-254</v>
      </c>
      <c r="L102">
        <v>2833</v>
      </c>
      <c r="T102">
        <v>20081001</v>
      </c>
      <c r="U102">
        <v>5599</v>
      </c>
      <c r="V102">
        <v>5718</v>
      </c>
      <c r="W102">
        <v>5598</v>
      </c>
      <c r="X102">
        <v>5676</v>
      </c>
      <c r="Y102">
        <v>70136</v>
      </c>
      <c r="Z102">
        <v>50</v>
      </c>
      <c r="AA102">
        <v>77</v>
      </c>
      <c r="AB102">
        <v>1</v>
      </c>
      <c r="AC102">
        <v>0.6</v>
      </c>
      <c r="AD102">
        <v>-1</v>
      </c>
      <c r="AE102">
        <v>5929.5</v>
      </c>
      <c r="AF102">
        <v>6084.9</v>
      </c>
      <c r="AG102">
        <v>0</v>
      </c>
      <c r="AH102">
        <v>-1</v>
      </c>
      <c r="AI102">
        <v>0</v>
      </c>
      <c r="AJ102">
        <v>0</v>
      </c>
      <c r="AK102">
        <v>1367</v>
      </c>
    </row>
    <row r="103" spans="1:37" x14ac:dyDescent="0.25">
      <c r="A103">
        <v>0</v>
      </c>
      <c r="B103">
        <v>0.5</v>
      </c>
      <c r="C103">
        <v>-1</v>
      </c>
      <c r="D103">
        <v>5893.25</v>
      </c>
      <c r="E103">
        <v>6036.4</v>
      </c>
      <c r="F103">
        <v>0</v>
      </c>
      <c r="G103">
        <v>45</v>
      </c>
      <c r="H103">
        <v>-103</v>
      </c>
      <c r="I103">
        <v>-1</v>
      </c>
      <c r="J103">
        <v>-2</v>
      </c>
      <c r="K103">
        <v>116</v>
      </c>
      <c r="L103">
        <v>2949</v>
      </c>
      <c r="T103">
        <v>20081002</v>
      </c>
      <c r="U103">
        <v>5721</v>
      </c>
      <c r="V103">
        <v>5739</v>
      </c>
      <c r="W103">
        <v>5555</v>
      </c>
      <c r="X103">
        <v>5618</v>
      </c>
      <c r="Y103">
        <v>80906</v>
      </c>
      <c r="Z103">
        <v>45</v>
      </c>
      <c r="AA103">
        <v>-103</v>
      </c>
      <c r="AB103">
        <v>0</v>
      </c>
      <c r="AC103">
        <v>0.5</v>
      </c>
      <c r="AD103">
        <v>0</v>
      </c>
      <c r="AE103">
        <v>5893.25</v>
      </c>
      <c r="AF103">
        <v>6036.4</v>
      </c>
      <c r="AG103">
        <v>0</v>
      </c>
      <c r="AH103">
        <v>0</v>
      </c>
      <c r="AI103">
        <v>-1</v>
      </c>
      <c r="AJ103">
        <v>103</v>
      </c>
      <c r="AK103">
        <v>1470</v>
      </c>
    </row>
    <row r="104" spans="1:37" x14ac:dyDescent="0.25">
      <c r="A104">
        <v>1</v>
      </c>
      <c r="B104">
        <v>0.6</v>
      </c>
      <c r="C104">
        <v>-1</v>
      </c>
      <c r="D104">
        <v>5837.75</v>
      </c>
      <c r="E104">
        <v>5998.8</v>
      </c>
      <c r="F104">
        <v>0</v>
      </c>
      <c r="G104">
        <v>-68</v>
      </c>
      <c r="H104">
        <v>95</v>
      </c>
      <c r="I104">
        <v>-1</v>
      </c>
      <c r="J104">
        <v>-2</v>
      </c>
      <c r="K104">
        <v>-54</v>
      </c>
      <c r="L104">
        <v>2895</v>
      </c>
      <c r="T104">
        <v>20081003</v>
      </c>
      <c r="U104">
        <v>5550</v>
      </c>
      <c r="V104">
        <v>5685</v>
      </c>
      <c r="W104">
        <v>5490</v>
      </c>
      <c r="X104">
        <v>5645</v>
      </c>
      <c r="Y104">
        <v>78624</v>
      </c>
      <c r="Z104">
        <v>-68</v>
      </c>
      <c r="AA104">
        <v>95</v>
      </c>
      <c r="AB104">
        <v>1</v>
      </c>
      <c r="AC104">
        <v>0.6</v>
      </c>
      <c r="AD104">
        <v>-1</v>
      </c>
      <c r="AE104">
        <v>5837.75</v>
      </c>
      <c r="AF104">
        <v>5998.8</v>
      </c>
      <c r="AG104">
        <v>0</v>
      </c>
      <c r="AH104">
        <v>-1</v>
      </c>
      <c r="AI104">
        <v>-1</v>
      </c>
      <c r="AJ104">
        <v>-27</v>
      </c>
      <c r="AK104">
        <v>1443</v>
      </c>
    </row>
    <row r="105" spans="1:37" x14ac:dyDescent="0.25">
      <c r="A105">
        <v>0</v>
      </c>
      <c r="B105">
        <v>0.5</v>
      </c>
      <c r="C105">
        <v>-1</v>
      </c>
      <c r="D105">
        <v>5744.25</v>
      </c>
      <c r="E105">
        <v>5955.95</v>
      </c>
      <c r="F105">
        <v>0</v>
      </c>
      <c r="G105">
        <v>-157</v>
      </c>
      <c r="H105">
        <v>-101</v>
      </c>
      <c r="I105">
        <v>-1</v>
      </c>
      <c r="J105">
        <v>-2</v>
      </c>
      <c r="K105">
        <v>516</v>
      </c>
      <c r="L105">
        <v>3411</v>
      </c>
      <c r="T105">
        <v>20081006</v>
      </c>
      <c r="U105">
        <v>5488</v>
      </c>
      <c r="V105">
        <v>5500</v>
      </c>
      <c r="W105">
        <v>5382</v>
      </c>
      <c r="X105">
        <v>5387</v>
      </c>
      <c r="Y105">
        <v>72476</v>
      </c>
      <c r="Z105">
        <v>-157</v>
      </c>
      <c r="AA105">
        <v>-101</v>
      </c>
      <c r="AB105">
        <v>0</v>
      </c>
      <c r="AC105">
        <v>0.5</v>
      </c>
      <c r="AD105">
        <v>0</v>
      </c>
      <c r="AE105">
        <v>5744.25</v>
      </c>
      <c r="AF105">
        <v>5955.95</v>
      </c>
      <c r="AG105">
        <v>0</v>
      </c>
      <c r="AH105">
        <v>0</v>
      </c>
      <c r="AI105">
        <v>-2</v>
      </c>
      <c r="AJ105">
        <v>359</v>
      </c>
      <c r="AK105">
        <v>1802</v>
      </c>
    </row>
    <row r="106" spans="1:37" x14ac:dyDescent="0.25">
      <c r="A106">
        <v>1</v>
      </c>
      <c r="B106">
        <v>0.5</v>
      </c>
      <c r="C106">
        <v>-1</v>
      </c>
      <c r="D106">
        <v>5655.5</v>
      </c>
      <c r="E106">
        <v>5894.35</v>
      </c>
      <c r="F106">
        <v>0</v>
      </c>
      <c r="G106">
        <v>-137</v>
      </c>
      <c r="H106">
        <v>195</v>
      </c>
      <c r="I106">
        <v>-1</v>
      </c>
      <c r="J106">
        <v>-2</v>
      </c>
      <c r="K106">
        <v>-116</v>
      </c>
      <c r="L106">
        <v>3295</v>
      </c>
      <c r="T106">
        <v>20081007</v>
      </c>
      <c r="U106">
        <v>5250</v>
      </c>
      <c r="V106">
        <v>5485</v>
      </c>
      <c r="W106">
        <v>5222</v>
      </c>
      <c r="X106">
        <v>5445</v>
      </c>
      <c r="Y106">
        <v>91113</v>
      </c>
      <c r="Z106">
        <v>-137</v>
      </c>
      <c r="AA106">
        <v>195</v>
      </c>
      <c r="AB106">
        <v>1</v>
      </c>
      <c r="AC106">
        <v>0.5</v>
      </c>
      <c r="AD106">
        <v>0</v>
      </c>
      <c r="AE106">
        <v>5655.5</v>
      </c>
      <c r="AF106">
        <v>5894.35</v>
      </c>
      <c r="AG106">
        <v>0</v>
      </c>
      <c r="AH106">
        <v>0</v>
      </c>
      <c r="AI106">
        <v>-2</v>
      </c>
      <c r="AJ106">
        <v>-116</v>
      </c>
      <c r="AK106">
        <v>1686</v>
      </c>
    </row>
    <row r="107" spans="1:37" x14ac:dyDescent="0.25">
      <c r="A107">
        <v>0</v>
      </c>
      <c r="B107">
        <v>0.4</v>
      </c>
      <c r="C107">
        <v>-1</v>
      </c>
      <c r="D107">
        <v>5537.25</v>
      </c>
      <c r="E107">
        <v>5826.65</v>
      </c>
      <c r="F107">
        <v>0</v>
      </c>
      <c r="G107">
        <v>-196</v>
      </c>
      <c r="H107">
        <v>-137</v>
      </c>
      <c r="I107">
        <v>-1</v>
      </c>
      <c r="J107">
        <v>-2</v>
      </c>
      <c r="K107">
        <v>666</v>
      </c>
      <c r="L107">
        <v>3961</v>
      </c>
      <c r="T107">
        <v>20081008</v>
      </c>
      <c r="U107">
        <v>5249</v>
      </c>
      <c r="V107">
        <v>5345</v>
      </c>
      <c r="W107">
        <v>5065</v>
      </c>
      <c r="X107">
        <v>5112</v>
      </c>
      <c r="Y107">
        <v>105393</v>
      </c>
      <c r="Z107">
        <v>-196</v>
      </c>
      <c r="AA107">
        <v>-137</v>
      </c>
      <c r="AB107">
        <v>0</v>
      </c>
      <c r="AC107">
        <v>0.4</v>
      </c>
      <c r="AD107">
        <v>0</v>
      </c>
      <c r="AE107">
        <v>5537.25</v>
      </c>
      <c r="AF107">
        <v>5826.65</v>
      </c>
      <c r="AG107">
        <v>0</v>
      </c>
      <c r="AH107">
        <v>0</v>
      </c>
      <c r="AI107">
        <v>-2</v>
      </c>
      <c r="AJ107">
        <v>666</v>
      </c>
      <c r="AK107">
        <v>2352</v>
      </c>
    </row>
    <row r="108" spans="1:37" x14ac:dyDescent="0.25">
      <c r="A108">
        <v>0</v>
      </c>
      <c r="B108">
        <v>0.3</v>
      </c>
      <c r="C108">
        <v>-1</v>
      </c>
      <c r="D108">
        <v>5436.75</v>
      </c>
      <c r="E108">
        <v>5757.1</v>
      </c>
      <c r="F108">
        <v>0</v>
      </c>
      <c r="G108">
        <v>74</v>
      </c>
      <c r="H108">
        <v>-124</v>
      </c>
      <c r="I108">
        <v>-1</v>
      </c>
      <c r="J108">
        <v>-2</v>
      </c>
      <c r="K108">
        <v>100</v>
      </c>
      <c r="L108">
        <v>4061</v>
      </c>
      <c r="T108">
        <v>20081009</v>
      </c>
      <c r="U108">
        <v>5186</v>
      </c>
      <c r="V108">
        <v>5254</v>
      </c>
      <c r="W108">
        <v>5058</v>
      </c>
      <c r="X108">
        <v>5062</v>
      </c>
      <c r="Y108">
        <v>110499</v>
      </c>
      <c r="Z108">
        <v>74</v>
      </c>
      <c r="AA108">
        <v>-124</v>
      </c>
      <c r="AB108">
        <v>0</v>
      </c>
      <c r="AC108">
        <v>0.3</v>
      </c>
      <c r="AD108">
        <v>0</v>
      </c>
      <c r="AE108">
        <v>5436.75</v>
      </c>
      <c r="AF108">
        <v>5757.1</v>
      </c>
      <c r="AG108">
        <v>0</v>
      </c>
      <c r="AH108">
        <v>0</v>
      </c>
      <c r="AI108">
        <v>-2</v>
      </c>
      <c r="AJ108">
        <v>100</v>
      </c>
      <c r="AK108">
        <v>2452</v>
      </c>
    </row>
    <row r="109" spans="1:37" x14ac:dyDescent="0.25">
      <c r="A109">
        <v>0</v>
      </c>
      <c r="B109">
        <v>0.3</v>
      </c>
      <c r="C109">
        <v>-1</v>
      </c>
      <c r="D109">
        <v>5361.25</v>
      </c>
      <c r="E109">
        <v>5692.85</v>
      </c>
      <c r="F109">
        <v>0</v>
      </c>
      <c r="G109">
        <v>-177</v>
      </c>
      <c r="H109">
        <v>60</v>
      </c>
      <c r="I109">
        <v>-1</v>
      </c>
      <c r="J109">
        <v>-2</v>
      </c>
      <c r="K109">
        <v>234</v>
      </c>
      <c r="L109">
        <v>4295</v>
      </c>
      <c r="T109">
        <v>20081013</v>
      </c>
      <c r="U109">
        <v>4885</v>
      </c>
      <c r="V109">
        <v>4978</v>
      </c>
      <c r="W109">
        <v>4885</v>
      </c>
      <c r="X109">
        <v>4945</v>
      </c>
      <c r="Y109">
        <v>62516</v>
      </c>
      <c r="Z109">
        <v>-177</v>
      </c>
      <c r="AA109">
        <v>60</v>
      </c>
      <c r="AB109">
        <v>0</v>
      </c>
      <c r="AC109">
        <v>0.3</v>
      </c>
      <c r="AD109">
        <v>0</v>
      </c>
      <c r="AE109">
        <v>5361.25</v>
      </c>
      <c r="AF109">
        <v>5692.85</v>
      </c>
      <c r="AG109">
        <v>0</v>
      </c>
      <c r="AH109">
        <v>0</v>
      </c>
      <c r="AI109">
        <v>-2</v>
      </c>
      <c r="AJ109">
        <v>234</v>
      </c>
      <c r="AK109">
        <v>2686</v>
      </c>
    </row>
    <row r="110" spans="1:37" x14ac:dyDescent="0.25">
      <c r="A110">
        <v>1</v>
      </c>
      <c r="B110">
        <v>0.4</v>
      </c>
      <c r="C110">
        <v>-1</v>
      </c>
      <c r="D110">
        <v>5312.625</v>
      </c>
      <c r="E110">
        <v>5642.8</v>
      </c>
      <c r="F110">
        <v>0</v>
      </c>
      <c r="G110">
        <v>341</v>
      </c>
      <c r="H110">
        <v>1</v>
      </c>
      <c r="I110">
        <v>-1</v>
      </c>
      <c r="J110">
        <v>-2</v>
      </c>
      <c r="K110">
        <v>-684</v>
      </c>
      <c r="L110">
        <v>3611</v>
      </c>
      <c r="T110">
        <v>20081014</v>
      </c>
      <c r="U110">
        <v>5286</v>
      </c>
      <c r="V110">
        <v>5287</v>
      </c>
      <c r="W110">
        <v>5236</v>
      </c>
      <c r="X110">
        <v>5287</v>
      </c>
      <c r="Y110">
        <v>40302</v>
      </c>
      <c r="Z110">
        <v>341</v>
      </c>
      <c r="AA110">
        <v>1</v>
      </c>
      <c r="AB110">
        <v>1</v>
      </c>
      <c r="AC110">
        <v>0.4</v>
      </c>
      <c r="AD110">
        <v>0</v>
      </c>
      <c r="AE110">
        <v>5312.625</v>
      </c>
      <c r="AF110">
        <v>5642.8</v>
      </c>
      <c r="AG110">
        <v>0</v>
      </c>
      <c r="AH110">
        <v>0</v>
      </c>
      <c r="AI110">
        <v>-2</v>
      </c>
      <c r="AJ110">
        <v>-684</v>
      </c>
      <c r="AK110">
        <v>2002</v>
      </c>
    </row>
    <row r="111" spans="1:37" x14ac:dyDescent="0.25">
      <c r="A111">
        <v>0</v>
      </c>
      <c r="B111">
        <v>0.4</v>
      </c>
      <c r="C111">
        <v>-1</v>
      </c>
      <c r="D111">
        <v>5255.375</v>
      </c>
      <c r="E111">
        <v>5602.45</v>
      </c>
      <c r="F111">
        <v>0</v>
      </c>
      <c r="G111">
        <v>-95</v>
      </c>
      <c r="H111">
        <v>-32</v>
      </c>
      <c r="I111">
        <v>-1</v>
      </c>
      <c r="J111">
        <v>-2</v>
      </c>
      <c r="K111">
        <v>254</v>
      </c>
      <c r="L111">
        <v>3865</v>
      </c>
      <c r="T111">
        <v>20081015</v>
      </c>
      <c r="U111">
        <v>5192</v>
      </c>
      <c r="V111">
        <v>5229</v>
      </c>
      <c r="W111">
        <v>5078</v>
      </c>
      <c r="X111">
        <v>5160</v>
      </c>
      <c r="Y111">
        <v>44644</v>
      </c>
      <c r="Z111">
        <v>-95</v>
      </c>
      <c r="AA111">
        <v>-32</v>
      </c>
      <c r="AB111">
        <v>0</v>
      </c>
      <c r="AC111">
        <v>0.4</v>
      </c>
      <c r="AD111">
        <v>0</v>
      </c>
      <c r="AE111">
        <v>5255.375</v>
      </c>
      <c r="AF111">
        <v>5602.45</v>
      </c>
      <c r="AG111">
        <v>0</v>
      </c>
      <c r="AH111">
        <v>0</v>
      </c>
      <c r="AI111">
        <v>-2</v>
      </c>
      <c r="AJ111">
        <v>254</v>
      </c>
      <c r="AK111">
        <v>2256</v>
      </c>
    </row>
    <row r="112" spans="1:37" x14ac:dyDescent="0.25">
      <c r="A112">
        <v>0</v>
      </c>
      <c r="B112">
        <v>0.3</v>
      </c>
      <c r="C112">
        <v>-1</v>
      </c>
      <c r="D112">
        <v>5172</v>
      </c>
      <c r="E112">
        <v>5567.1</v>
      </c>
      <c r="F112">
        <v>0</v>
      </c>
      <c r="G112">
        <v>-182</v>
      </c>
      <c r="H112">
        <v>0</v>
      </c>
      <c r="I112">
        <v>-1</v>
      </c>
      <c r="J112">
        <v>-2</v>
      </c>
      <c r="K112">
        <v>364</v>
      </c>
      <c r="L112">
        <v>4229</v>
      </c>
      <c r="T112">
        <v>20081016</v>
      </c>
      <c r="U112">
        <v>4978</v>
      </c>
      <c r="V112">
        <v>4978</v>
      </c>
      <c r="W112">
        <v>4978</v>
      </c>
      <c r="X112">
        <v>4978</v>
      </c>
      <c r="Y112">
        <v>2305</v>
      </c>
      <c r="Z112">
        <v>-182</v>
      </c>
      <c r="AA112">
        <v>0</v>
      </c>
      <c r="AB112">
        <v>0</v>
      </c>
      <c r="AC112">
        <v>0.3</v>
      </c>
      <c r="AD112">
        <v>0</v>
      </c>
      <c r="AE112">
        <v>5172</v>
      </c>
      <c r="AF112">
        <v>5567.1</v>
      </c>
      <c r="AG112">
        <v>0</v>
      </c>
      <c r="AH112">
        <v>0</v>
      </c>
      <c r="AI112">
        <v>-2</v>
      </c>
      <c r="AJ112">
        <v>364</v>
      </c>
      <c r="AK112">
        <v>2620</v>
      </c>
    </row>
    <row r="113" spans="1:37" x14ac:dyDescent="0.25">
      <c r="A113">
        <v>0</v>
      </c>
      <c r="B113">
        <v>0.3</v>
      </c>
      <c r="C113">
        <v>-1</v>
      </c>
      <c r="D113">
        <v>5099.125</v>
      </c>
      <c r="E113">
        <v>5520.05</v>
      </c>
      <c r="F113">
        <v>0</v>
      </c>
      <c r="G113">
        <v>-84</v>
      </c>
      <c r="H113">
        <v>-90</v>
      </c>
      <c r="I113">
        <v>-1</v>
      </c>
      <c r="J113">
        <v>-2</v>
      </c>
      <c r="K113">
        <v>348</v>
      </c>
      <c r="L113">
        <v>4577</v>
      </c>
      <c r="T113">
        <v>20081017</v>
      </c>
      <c r="U113">
        <v>4894</v>
      </c>
      <c r="V113">
        <v>4968</v>
      </c>
      <c r="W113">
        <v>4804</v>
      </c>
      <c r="X113">
        <v>4804</v>
      </c>
      <c r="Y113">
        <v>72057</v>
      </c>
      <c r="Z113">
        <v>-84</v>
      </c>
      <c r="AA113">
        <v>-90</v>
      </c>
      <c r="AB113">
        <v>0</v>
      </c>
      <c r="AC113">
        <v>0.3</v>
      </c>
      <c r="AD113">
        <v>0</v>
      </c>
      <c r="AE113">
        <v>5099.125</v>
      </c>
      <c r="AF113">
        <v>5520.05</v>
      </c>
      <c r="AG113">
        <v>0</v>
      </c>
      <c r="AH113">
        <v>0</v>
      </c>
      <c r="AI113">
        <v>-2</v>
      </c>
      <c r="AJ113">
        <v>348</v>
      </c>
      <c r="AK113">
        <v>2968</v>
      </c>
    </row>
    <row r="114" spans="1:37" x14ac:dyDescent="0.25">
      <c r="A114">
        <v>1</v>
      </c>
      <c r="B114">
        <v>0.3</v>
      </c>
      <c r="C114">
        <v>-1</v>
      </c>
      <c r="D114">
        <v>5021.375</v>
      </c>
      <c r="E114">
        <v>5485.1</v>
      </c>
      <c r="F114">
        <v>0</v>
      </c>
      <c r="G114">
        <v>0</v>
      </c>
      <c r="H114">
        <v>19</v>
      </c>
      <c r="I114">
        <v>-1</v>
      </c>
      <c r="J114">
        <v>-2</v>
      </c>
      <c r="K114">
        <v>-38</v>
      </c>
      <c r="L114">
        <v>4539</v>
      </c>
      <c r="T114">
        <v>20081020</v>
      </c>
      <c r="U114">
        <v>4804</v>
      </c>
      <c r="V114">
        <v>4836</v>
      </c>
      <c r="W114">
        <v>4636</v>
      </c>
      <c r="X114">
        <v>4823</v>
      </c>
      <c r="Y114">
        <v>85947</v>
      </c>
      <c r="Z114">
        <v>0</v>
      </c>
      <c r="AA114">
        <v>19</v>
      </c>
      <c r="AB114">
        <v>1</v>
      </c>
      <c r="AC114">
        <v>0.3</v>
      </c>
      <c r="AD114">
        <v>0</v>
      </c>
      <c r="AE114">
        <v>5021.375</v>
      </c>
      <c r="AF114">
        <v>5485.1</v>
      </c>
      <c r="AG114">
        <v>0</v>
      </c>
      <c r="AH114">
        <v>0</v>
      </c>
      <c r="AI114">
        <v>-2</v>
      </c>
      <c r="AJ114">
        <v>-38</v>
      </c>
      <c r="AK114">
        <v>2930</v>
      </c>
    </row>
    <row r="115" spans="1:37" x14ac:dyDescent="0.25">
      <c r="A115">
        <v>0</v>
      </c>
      <c r="B115">
        <v>0.3</v>
      </c>
      <c r="C115">
        <v>-1</v>
      </c>
      <c r="D115">
        <v>4984.5</v>
      </c>
      <c r="E115">
        <v>5430.55</v>
      </c>
      <c r="F115">
        <v>0</v>
      </c>
      <c r="G115">
        <v>107</v>
      </c>
      <c r="H115">
        <v>-113</v>
      </c>
      <c r="I115">
        <v>-1</v>
      </c>
      <c r="J115">
        <v>-2</v>
      </c>
      <c r="K115">
        <v>12</v>
      </c>
      <c r="L115">
        <v>4551</v>
      </c>
      <c r="T115">
        <v>20081021</v>
      </c>
      <c r="U115">
        <v>4930</v>
      </c>
      <c r="V115">
        <v>4950</v>
      </c>
      <c r="W115">
        <v>4735</v>
      </c>
      <c r="X115">
        <v>4817</v>
      </c>
      <c r="Y115">
        <v>117258</v>
      </c>
      <c r="Z115">
        <v>107</v>
      </c>
      <c r="AA115">
        <v>-113</v>
      </c>
      <c r="AB115">
        <v>0</v>
      </c>
      <c r="AC115">
        <v>0.3</v>
      </c>
      <c r="AD115">
        <v>0</v>
      </c>
      <c r="AE115">
        <v>4984.5</v>
      </c>
      <c r="AF115">
        <v>5430.55</v>
      </c>
      <c r="AG115">
        <v>0</v>
      </c>
      <c r="AH115">
        <v>0</v>
      </c>
      <c r="AI115">
        <v>-2</v>
      </c>
      <c r="AJ115">
        <v>12</v>
      </c>
      <c r="AK115">
        <v>2942</v>
      </c>
    </row>
    <row r="116" spans="1:37" x14ac:dyDescent="0.25">
      <c r="A116">
        <v>0</v>
      </c>
      <c r="B116">
        <v>0.2</v>
      </c>
      <c r="C116">
        <v>-1</v>
      </c>
      <c r="D116">
        <v>4933.75</v>
      </c>
      <c r="E116">
        <v>5358.9</v>
      </c>
      <c r="F116">
        <v>0</v>
      </c>
      <c r="G116">
        <v>-79</v>
      </c>
      <c r="H116">
        <v>-82</v>
      </c>
      <c r="I116">
        <v>-1</v>
      </c>
      <c r="J116">
        <v>-2</v>
      </c>
      <c r="K116">
        <v>322</v>
      </c>
      <c r="L116">
        <v>4873</v>
      </c>
      <c r="T116">
        <v>20081022</v>
      </c>
      <c r="U116">
        <v>4738</v>
      </c>
      <c r="V116">
        <v>4855</v>
      </c>
      <c r="W116">
        <v>4650</v>
      </c>
      <c r="X116">
        <v>4656</v>
      </c>
      <c r="Y116">
        <v>113984</v>
      </c>
      <c r="Z116">
        <v>-79</v>
      </c>
      <c r="AA116">
        <v>-82</v>
      </c>
      <c r="AB116">
        <v>0</v>
      </c>
      <c r="AC116">
        <v>0.2</v>
      </c>
      <c r="AD116">
        <v>1</v>
      </c>
      <c r="AE116">
        <v>4933.75</v>
      </c>
      <c r="AF116">
        <v>5358.9</v>
      </c>
      <c r="AG116">
        <v>0</v>
      </c>
      <c r="AH116">
        <v>1</v>
      </c>
      <c r="AI116">
        <v>-2</v>
      </c>
      <c r="AJ116">
        <v>322</v>
      </c>
      <c r="AK116">
        <v>3264</v>
      </c>
    </row>
    <row r="117" spans="1:37" x14ac:dyDescent="0.25">
      <c r="A117">
        <v>0</v>
      </c>
      <c r="B117">
        <v>0.2</v>
      </c>
      <c r="C117">
        <v>-1</v>
      </c>
      <c r="D117">
        <v>4877.375</v>
      </c>
      <c r="E117">
        <v>5276.85</v>
      </c>
      <c r="F117">
        <v>0</v>
      </c>
      <c r="G117">
        <v>-162</v>
      </c>
      <c r="H117">
        <v>0</v>
      </c>
      <c r="I117">
        <v>-1</v>
      </c>
      <c r="J117">
        <v>-2</v>
      </c>
      <c r="K117">
        <v>324</v>
      </c>
      <c r="L117">
        <v>5197</v>
      </c>
      <c r="T117">
        <v>20081023</v>
      </c>
      <c r="U117">
        <v>4494</v>
      </c>
      <c r="V117">
        <v>4528</v>
      </c>
      <c r="W117">
        <v>4494</v>
      </c>
      <c r="X117">
        <v>4494</v>
      </c>
      <c r="Y117">
        <v>28439</v>
      </c>
      <c r="Z117">
        <v>-162</v>
      </c>
      <c r="AA117">
        <v>0</v>
      </c>
      <c r="AB117">
        <v>0</v>
      </c>
      <c r="AC117">
        <v>0.2</v>
      </c>
      <c r="AD117">
        <v>1</v>
      </c>
      <c r="AE117">
        <v>4877.375</v>
      </c>
      <c r="AF117">
        <v>5276.85</v>
      </c>
      <c r="AG117">
        <v>0</v>
      </c>
      <c r="AH117">
        <v>1</v>
      </c>
      <c r="AI117">
        <v>-1</v>
      </c>
      <c r="AJ117">
        <v>324</v>
      </c>
      <c r="AK117">
        <v>3588</v>
      </c>
    </row>
    <row r="118" spans="1:37" x14ac:dyDescent="0.25">
      <c r="A118">
        <v>0</v>
      </c>
      <c r="B118">
        <v>0.2</v>
      </c>
      <c r="C118">
        <v>-1</v>
      </c>
      <c r="D118">
        <v>4758.625</v>
      </c>
      <c r="E118">
        <v>5185.95</v>
      </c>
      <c r="F118">
        <v>0</v>
      </c>
      <c r="G118">
        <v>-99</v>
      </c>
      <c r="H118">
        <v>-58</v>
      </c>
      <c r="I118">
        <v>-1</v>
      </c>
      <c r="J118">
        <v>-2</v>
      </c>
      <c r="K118">
        <v>314</v>
      </c>
      <c r="L118">
        <v>5511</v>
      </c>
      <c r="T118">
        <v>20081024</v>
      </c>
      <c r="U118">
        <v>4395</v>
      </c>
      <c r="V118">
        <v>4439</v>
      </c>
      <c r="W118">
        <v>4337</v>
      </c>
      <c r="X118">
        <v>4337</v>
      </c>
      <c r="Y118">
        <v>31754</v>
      </c>
      <c r="Z118">
        <v>-99</v>
      </c>
      <c r="AA118">
        <v>-58</v>
      </c>
      <c r="AB118">
        <v>0</v>
      </c>
      <c r="AC118">
        <v>0.2</v>
      </c>
      <c r="AD118">
        <v>1</v>
      </c>
      <c r="AE118">
        <v>4758.625</v>
      </c>
      <c r="AF118">
        <v>5185.95</v>
      </c>
      <c r="AG118">
        <v>0</v>
      </c>
      <c r="AH118">
        <v>1</v>
      </c>
      <c r="AI118">
        <v>0</v>
      </c>
      <c r="AJ118">
        <v>99</v>
      </c>
      <c r="AK118">
        <v>3687</v>
      </c>
    </row>
    <row r="119" spans="1:37" x14ac:dyDescent="0.25">
      <c r="A119">
        <v>0</v>
      </c>
      <c r="B119">
        <v>0.2</v>
      </c>
      <c r="C119">
        <v>-1</v>
      </c>
      <c r="D119">
        <v>4617.875</v>
      </c>
      <c r="E119">
        <v>5084.75</v>
      </c>
      <c r="F119">
        <v>0</v>
      </c>
      <c r="G119">
        <v>-211</v>
      </c>
      <c r="H119">
        <v>-92</v>
      </c>
      <c r="I119">
        <v>-1</v>
      </c>
      <c r="J119">
        <v>-2</v>
      </c>
      <c r="K119">
        <v>606</v>
      </c>
      <c r="L119">
        <v>6117</v>
      </c>
      <c r="T119">
        <v>20081027</v>
      </c>
      <c r="U119">
        <v>4126</v>
      </c>
      <c r="V119">
        <v>4226</v>
      </c>
      <c r="W119">
        <v>4034</v>
      </c>
      <c r="X119">
        <v>4034</v>
      </c>
      <c r="Y119">
        <v>88702</v>
      </c>
      <c r="Z119">
        <v>-211</v>
      </c>
      <c r="AA119">
        <v>-92</v>
      </c>
      <c r="AB119">
        <v>0</v>
      </c>
      <c r="AC119">
        <v>0.2</v>
      </c>
      <c r="AD119">
        <v>1</v>
      </c>
      <c r="AE119">
        <v>4617.875</v>
      </c>
      <c r="AF119">
        <v>5084.75</v>
      </c>
      <c r="AG119">
        <v>0</v>
      </c>
      <c r="AH119">
        <v>1</v>
      </c>
      <c r="AI119">
        <v>1</v>
      </c>
      <c r="AJ119">
        <v>-92</v>
      </c>
      <c r="AK119">
        <v>3595</v>
      </c>
    </row>
    <row r="120" spans="1:37" x14ac:dyDescent="0.25">
      <c r="A120">
        <v>1</v>
      </c>
      <c r="B120">
        <v>0.2</v>
      </c>
      <c r="C120">
        <v>-1</v>
      </c>
      <c r="D120">
        <v>4535.125</v>
      </c>
      <c r="E120">
        <v>5007.25</v>
      </c>
      <c r="F120">
        <v>0</v>
      </c>
      <c r="G120">
        <v>-113</v>
      </c>
      <c r="H120">
        <v>395</v>
      </c>
      <c r="I120">
        <v>-1</v>
      </c>
      <c r="J120">
        <v>-2</v>
      </c>
      <c r="K120">
        <v>-564</v>
      </c>
      <c r="L120">
        <v>5553</v>
      </c>
      <c r="T120">
        <v>20081028</v>
      </c>
      <c r="U120">
        <v>3921</v>
      </c>
      <c r="V120">
        <v>4316</v>
      </c>
      <c r="W120">
        <v>3811</v>
      </c>
      <c r="X120">
        <v>4316</v>
      </c>
      <c r="Y120">
        <v>161939</v>
      </c>
      <c r="Z120">
        <v>-113</v>
      </c>
      <c r="AA120">
        <v>395</v>
      </c>
      <c r="AB120">
        <v>1</v>
      </c>
      <c r="AC120">
        <v>0.2</v>
      </c>
      <c r="AD120">
        <v>1</v>
      </c>
      <c r="AE120">
        <v>4535.125</v>
      </c>
      <c r="AF120">
        <v>5007.25</v>
      </c>
      <c r="AG120">
        <v>0</v>
      </c>
      <c r="AH120">
        <v>1</v>
      </c>
      <c r="AI120">
        <v>2</v>
      </c>
      <c r="AJ120">
        <v>677</v>
      </c>
      <c r="AK120">
        <v>4272</v>
      </c>
    </row>
    <row r="121" spans="1:37" x14ac:dyDescent="0.25">
      <c r="A121">
        <v>0</v>
      </c>
      <c r="B121">
        <v>0.2</v>
      </c>
      <c r="C121">
        <v>-1</v>
      </c>
      <c r="D121">
        <v>4470.625</v>
      </c>
      <c r="E121">
        <v>4944.2</v>
      </c>
      <c r="F121">
        <v>0</v>
      </c>
      <c r="G121">
        <v>302</v>
      </c>
      <c r="H121">
        <v>-330</v>
      </c>
      <c r="I121">
        <v>-1</v>
      </c>
      <c r="J121">
        <v>-2</v>
      </c>
      <c r="K121">
        <v>56</v>
      </c>
      <c r="L121">
        <v>5609</v>
      </c>
      <c r="T121">
        <v>20081029</v>
      </c>
      <c r="U121">
        <v>4618</v>
      </c>
      <c r="V121">
        <v>4618</v>
      </c>
      <c r="W121">
        <v>4212</v>
      </c>
      <c r="X121">
        <v>4288</v>
      </c>
      <c r="Y121">
        <v>170104</v>
      </c>
      <c r="Z121">
        <v>302</v>
      </c>
      <c r="AA121">
        <v>-330</v>
      </c>
      <c r="AB121">
        <v>0</v>
      </c>
      <c r="AC121">
        <v>0.2</v>
      </c>
      <c r="AD121">
        <v>1</v>
      </c>
      <c r="AE121">
        <v>4470.625</v>
      </c>
      <c r="AF121">
        <v>4944.2</v>
      </c>
      <c r="AG121">
        <v>0</v>
      </c>
      <c r="AH121">
        <v>1</v>
      </c>
      <c r="AI121">
        <v>2</v>
      </c>
      <c r="AJ121">
        <v>-56</v>
      </c>
      <c r="AK121">
        <v>4216</v>
      </c>
    </row>
    <row r="122" spans="1:37" x14ac:dyDescent="0.25">
      <c r="A122">
        <v>1</v>
      </c>
      <c r="B122">
        <v>0.3</v>
      </c>
      <c r="C122">
        <v>-1</v>
      </c>
      <c r="D122">
        <v>4442</v>
      </c>
      <c r="E122">
        <v>4890.1000000000004</v>
      </c>
      <c r="F122">
        <v>0</v>
      </c>
      <c r="G122">
        <v>88</v>
      </c>
      <c r="H122">
        <v>218</v>
      </c>
      <c r="I122">
        <v>-1</v>
      </c>
      <c r="J122">
        <v>-2</v>
      </c>
      <c r="K122">
        <v>-612</v>
      </c>
      <c r="L122">
        <v>4997</v>
      </c>
      <c r="T122">
        <v>20081030</v>
      </c>
      <c r="U122">
        <v>4376</v>
      </c>
      <c r="V122">
        <v>4594</v>
      </c>
      <c r="W122">
        <v>4361</v>
      </c>
      <c r="X122">
        <v>4594</v>
      </c>
      <c r="Y122">
        <v>71639</v>
      </c>
      <c r="Z122">
        <v>88</v>
      </c>
      <c r="AA122">
        <v>218</v>
      </c>
      <c r="AB122">
        <v>1</v>
      </c>
      <c r="AC122">
        <v>0.3</v>
      </c>
      <c r="AD122">
        <v>0</v>
      </c>
      <c r="AE122">
        <v>4442</v>
      </c>
      <c r="AF122">
        <v>4890.1000000000004</v>
      </c>
      <c r="AG122">
        <v>0</v>
      </c>
      <c r="AH122">
        <v>0</v>
      </c>
      <c r="AI122">
        <v>2</v>
      </c>
      <c r="AJ122">
        <v>612</v>
      </c>
      <c r="AK122">
        <v>4828</v>
      </c>
    </row>
    <row r="123" spans="1:37" x14ac:dyDescent="0.25">
      <c r="A123">
        <v>1</v>
      </c>
      <c r="B123">
        <v>0.4</v>
      </c>
      <c r="C123">
        <v>-1</v>
      </c>
      <c r="D123">
        <v>4445.375</v>
      </c>
      <c r="E123">
        <v>4851.3999999999996</v>
      </c>
      <c r="F123">
        <v>0</v>
      </c>
      <c r="G123">
        <v>0</v>
      </c>
      <c r="H123">
        <v>250</v>
      </c>
      <c r="I123">
        <v>-1</v>
      </c>
      <c r="J123">
        <v>-2</v>
      </c>
      <c r="K123">
        <v>-500</v>
      </c>
      <c r="L123">
        <v>4497</v>
      </c>
      <c r="T123">
        <v>20081031</v>
      </c>
      <c r="U123">
        <v>4594</v>
      </c>
      <c r="V123">
        <v>4910</v>
      </c>
      <c r="W123">
        <v>4530</v>
      </c>
      <c r="X123">
        <v>4844</v>
      </c>
      <c r="Y123">
        <v>171585</v>
      </c>
      <c r="Z123">
        <v>0</v>
      </c>
      <c r="AA123">
        <v>250</v>
      </c>
      <c r="AB123">
        <v>1</v>
      </c>
      <c r="AC123">
        <v>0.4</v>
      </c>
      <c r="AD123">
        <v>0</v>
      </c>
      <c r="AE123">
        <v>4445.375</v>
      </c>
      <c r="AF123">
        <v>4851.3999999999996</v>
      </c>
      <c r="AG123">
        <v>0</v>
      </c>
      <c r="AH123">
        <v>0</v>
      </c>
      <c r="AI123">
        <v>2</v>
      </c>
      <c r="AJ123">
        <v>500</v>
      </c>
      <c r="AK123">
        <v>5328</v>
      </c>
    </row>
    <row r="124" spans="1:37" x14ac:dyDescent="0.25">
      <c r="A124">
        <v>1</v>
      </c>
      <c r="B124">
        <v>0.4</v>
      </c>
      <c r="C124">
        <v>-1</v>
      </c>
      <c r="D124">
        <v>4487.375</v>
      </c>
      <c r="E124">
        <v>4818.75</v>
      </c>
      <c r="F124">
        <v>0</v>
      </c>
      <c r="G124">
        <v>66</v>
      </c>
      <c r="H124">
        <v>82</v>
      </c>
      <c r="I124">
        <v>-1</v>
      </c>
      <c r="J124">
        <v>-2</v>
      </c>
      <c r="K124">
        <v>-296</v>
      </c>
      <c r="L124">
        <v>4201</v>
      </c>
      <c r="T124">
        <v>20081103</v>
      </c>
      <c r="U124">
        <v>4910</v>
      </c>
      <c r="V124">
        <v>4994</v>
      </c>
      <c r="W124">
        <v>4784</v>
      </c>
      <c r="X124">
        <v>4992</v>
      </c>
      <c r="Y124">
        <v>146385</v>
      </c>
      <c r="Z124">
        <v>66</v>
      </c>
      <c r="AA124">
        <v>82</v>
      </c>
      <c r="AB124">
        <v>1</v>
      </c>
      <c r="AC124">
        <v>0.4</v>
      </c>
      <c r="AD124">
        <v>0</v>
      </c>
      <c r="AE124">
        <v>4487.375</v>
      </c>
      <c r="AF124">
        <v>4818.75</v>
      </c>
      <c r="AG124">
        <v>0</v>
      </c>
      <c r="AH124">
        <v>0</v>
      </c>
      <c r="AI124">
        <v>2</v>
      </c>
      <c r="AJ124">
        <v>296</v>
      </c>
      <c r="AK124">
        <v>5624</v>
      </c>
    </row>
    <row r="125" spans="1:37" x14ac:dyDescent="0.25">
      <c r="A125">
        <v>0</v>
      </c>
      <c r="B125">
        <v>0.4</v>
      </c>
      <c r="C125">
        <v>-1</v>
      </c>
      <c r="D125">
        <v>4547.875</v>
      </c>
      <c r="E125">
        <v>4798.3</v>
      </c>
      <c r="F125">
        <v>0</v>
      </c>
      <c r="G125">
        <v>-27</v>
      </c>
      <c r="H125">
        <v>13</v>
      </c>
      <c r="I125">
        <v>-1</v>
      </c>
      <c r="J125">
        <v>-2</v>
      </c>
      <c r="K125">
        <v>28</v>
      </c>
      <c r="L125">
        <v>4229</v>
      </c>
      <c r="T125">
        <v>20081104</v>
      </c>
      <c r="U125">
        <v>4965</v>
      </c>
      <c r="V125">
        <v>5007</v>
      </c>
      <c r="W125">
        <v>4836</v>
      </c>
      <c r="X125">
        <v>4978</v>
      </c>
      <c r="Y125">
        <v>130800</v>
      </c>
      <c r="Z125">
        <v>-27</v>
      </c>
      <c r="AA125">
        <v>13</v>
      </c>
      <c r="AB125">
        <v>0</v>
      </c>
      <c r="AC125">
        <v>0.4</v>
      </c>
      <c r="AD125">
        <v>0</v>
      </c>
      <c r="AE125">
        <v>4547.875</v>
      </c>
      <c r="AF125">
        <v>4798.3</v>
      </c>
      <c r="AG125">
        <v>0</v>
      </c>
      <c r="AH125">
        <v>0</v>
      </c>
      <c r="AI125">
        <v>2</v>
      </c>
      <c r="AJ125">
        <v>-28</v>
      </c>
      <c r="AK125">
        <v>5596</v>
      </c>
    </row>
    <row r="126" spans="1:37" x14ac:dyDescent="0.25">
      <c r="A126">
        <v>0</v>
      </c>
      <c r="B126">
        <v>0.4</v>
      </c>
      <c r="C126">
        <v>-1</v>
      </c>
      <c r="D126">
        <v>4618.25</v>
      </c>
      <c r="E126">
        <v>4771.05</v>
      </c>
      <c r="F126">
        <v>0</v>
      </c>
      <c r="G126">
        <v>102</v>
      </c>
      <c r="H126">
        <v>-180</v>
      </c>
      <c r="I126">
        <v>-1</v>
      </c>
      <c r="J126">
        <v>-2</v>
      </c>
      <c r="K126">
        <v>156</v>
      </c>
      <c r="L126">
        <v>4385</v>
      </c>
      <c r="T126">
        <v>20081105</v>
      </c>
      <c r="U126">
        <v>5080</v>
      </c>
      <c r="V126">
        <v>5100</v>
      </c>
      <c r="W126">
        <v>4893</v>
      </c>
      <c r="X126">
        <v>4900</v>
      </c>
      <c r="Y126">
        <v>134168</v>
      </c>
      <c r="Z126">
        <v>102</v>
      </c>
      <c r="AA126">
        <v>-180</v>
      </c>
      <c r="AB126">
        <v>0</v>
      </c>
      <c r="AC126">
        <v>0.4</v>
      </c>
      <c r="AD126">
        <v>0</v>
      </c>
      <c r="AE126">
        <v>4618.25</v>
      </c>
      <c r="AF126">
        <v>4771.05</v>
      </c>
      <c r="AG126">
        <v>0</v>
      </c>
      <c r="AH126">
        <v>0</v>
      </c>
      <c r="AI126">
        <v>2</v>
      </c>
      <c r="AJ126">
        <v>-156</v>
      </c>
      <c r="AK126">
        <v>5440</v>
      </c>
    </row>
    <row r="127" spans="1:37" x14ac:dyDescent="0.25">
      <c r="A127">
        <v>0</v>
      </c>
      <c r="B127">
        <v>0.4</v>
      </c>
      <c r="C127">
        <v>-1</v>
      </c>
      <c r="D127">
        <v>4683.625</v>
      </c>
      <c r="E127">
        <v>4743.3</v>
      </c>
      <c r="F127">
        <v>0</v>
      </c>
      <c r="G127">
        <v>-220</v>
      </c>
      <c r="H127">
        <v>-123</v>
      </c>
      <c r="I127">
        <v>-1</v>
      </c>
      <c r="J127">
        <v>-2</v>
      </c>
      <c r="K127">
        <v>686</v>
      </c>
      <c r="L127">
        <v>5071</v>
      </c>
      <c r="T127">
        <v>20081106</v>
      </c>
      <c r="U127">
        <v>4680</v>
      </c>
      <c r="V127">
        <v>4700</v>
      </c>
      <c r="W127">
        <v>4557</v>
      </c>
      <c r="X127">
        <v>4557</v>
      </c>
      <c r="Y127">
        <v>61042</v>
      </c>
      <c r="Z127">
        <v>-220</v>
      </c>
      <c r="AA127">
        <v>-123</v>
      </c>
      <c r="AB127">
        <v>0</v>
      </c>
      <c r="AC127">
        <v>0.4</v>
      </c>
      <c r="AD127">
        <v>0</v>
      </c>
      <c r="AE127">
        <v>4683.625</v>
      </c>
      <c r="AF127">
        <v>4743.3</v>
      </c>
      <c r="AG127">
        <v>0</v>
      </c>
      <c r="AH127">
        <v>0</v>
      </c>
      <c r="AI127">
        <v>2</v>
      </c>
      <c r="AJ127">
        <v>-686</v>
      </c>
      <c r="AK127">
        <v>4754</v>
      </c>
    </row>
    <row r="128" spans="1:37" x14ac:dyDescent="0.25">
      <c r="A128">
        <v>1</v>
      </c>
      <c r="B128">
        <v>0.5</v>
      </c>
      <c r="C128">
        <v>-1</v>
      </c>
      <c r="D128">
        <v>4723.25</v>
      </c>
      <c r="E128">
        <v>4721.8500000000004</v>
      </c>
      <c r="F128">
        <v>1</v>
      </c>
      <c r="G128">
        <v>-247</v>
      </c>
      <c r="H128">
        <v>323</v>
      </c>
      <c r="I128">
        <v>1</v>
      </c>
      <c r="J128">
        <v>-2</v>
      </c>
      <c r="K128">
        <v>-152</v>
      </c>
      <c r="L128">
        <v>4919</v>
      </c>
      <c r="T128">
        <v>20081107</v>
      </c>
      <c r="U128">
        <v>4310</v>
      </c>
      <c r="V128">
        <v>4662</v>
      </c>
      <c r="W128">
        <v>4272</v>
      </c>
      <c r="X128">
        <v>4633</v>
      </c>
      <c r="Y128">
        <v>167885</v>
      </c>
      <c r="Z128">
        <v>-247</v>
      </c>
      <c r="AA128">
        <v>323</v>
      </c>
      <c r="AB128">
        <v>1</v>
      </c>
      <c r="AC128">
        <v>0.5</v>
      </c>
      <c r="AD128">
        <v>0</v>
      </c>
      <c r="AE128">
        <v>4723.25</v>
      </c>
      <c r="AF128">
        <v>4721.8500000000004</v>
      </c>
      <c r="AG128">
        <v>1</v>
      </c>
      <c r="AH128">
        <v>1</v>
      </c>
      <c r="AI128">
        <v>2</v>
      </c>
      <c r="AJ128">
        <v>152</v>
      </c>
      <c r="AK128">
        <v>4906</v>
      </c>
    </row>
    <row r="129" spans="1:37" x14ac:dyDescent="0.25">
      <c r="A129">
        <v>0</v>
      </c>
      <c r="B129">
        <v>0.5</v>
      </c>
      <c r="C129">
        <v>-1</v>
      </c>
      <c r="D129">
        <v>4766.25</v>
      </c>
      <c r="E129">
        <v>4706.2</v>
      </c>
      <c r="F129">
        <v>0</v>
      </c>
      <c r="G129">
        <v>25</v>
      </c>
      <c r="H129">
        <v>-26</v>
      </c>
      <c r="I129">
        <v>-1</v>
      </c>
      <c r="J129">
        <v>-1</v>
      </c>
      <c r="K129">
        <v>-24</v>
      </c>
      <c r="L129">
        <v>4895</v>
      </c>
      <c r="T129">
        <v>20081110</v>
      </c>
      <c r="U129">
        <v>4658</v>
      </c>
      <c r="V129">
        <v>4692</v>
      </c>
      <c r="W129">
        <v>4551</v>
      </c>
      <c r="X129">
        <v>4632</v>
      </c>
      <c r="Y129">
        <v>118290</v>
      </c>
      <c r="Z129">
        <v>25</v>
      </c>
      <c r="AA129">
        <v>-26</v>
      </c>
      <c r="AB129">
        <v>0</v>
      </c>
      <c r="AC129">
        <v>0.5</v>
      </c>
      <c r="AD129">
        <v>0</v>
      </c>
      <c r="AE129">
        <v>4766.25</v>
      </c>
      <c r="AF129">
        <v>4706.2</v>
      </c>
      <c r="AG129">
        <v>0</v>
      </c>
      <c r="AH129">
        <v>0</v>
      </c>
      <c r="AI129">
        <v>2</v>
      </c>
      <c r="AJ129">
        <v>-2</v>
      </c>
      <c r="AK129">
        <v>4904</v>
      </c>
    </row>
    <row r="130" spans="1:37" x14ac:dyDescent="0.25">
      <c r="A130">
        <v>0</v>
      </c>
      <c r="B130">
        <v>0.4</v>
      </c>
      <c r="C130">
        <v>-1</v>
      </c>
      <c r="D130">
        <v>4751.25</v>
      </c>
      <c r="E130">
        <v>4665.55</v>
      </c>
      <c r="F130">
        <v>0</v>
      </c>
      <c r="G130">
        <v>-155</v>
      </c>
      <c r="H130">
        <v>-3</v>
      </c>
      <c r="I130">
        <v>-1</v>
      </c>
      <c r="J130">
        <v>-2</v>
      </c>
      <c r="K130">
        <v>161</v>
      </c>
      <c r="L130">
        <v>5056</v>
      </c>
      <c r="T130">
        <v>20081111</v>
      </c>
      <c r="U130">
        <v>4477</v>
      </c>
      <c r="V130">
        <v>4645</v>
      </c>
      <c r="W130">
        <v>4465</v>
      </c>
      <c r="X130">
        <v>4474</v>
      </c>
      <c r="Y130">
        <v>120642</v>
      </c>
      <c r="Z130">
        <v>-155</v>
      </c>
      <c r="AA130">
        <v>-3</v>
      </c>
      <c r="AB130">
        <v>0</v>
      </c>
      <c r="AC130">
        <v>0.4</v>
      </c>
      <c r="AD130">
        <v>0</v>
      </c>
      <c r="AE130">
        <v>4751.25</v>
      </c>
      <c r="AF130">
        <v>4665.55</v>
      </c>
      <c r="AG130">
        <v>0</v>
      </c>
      <c r="AH130">
        <v>0</v>
      </c>
      <c r="AI130">
        <v>2</v>
      </c>
      <c r="AJ130">
        <v>-316</v>
      </c>
      <c r="AK130">
        <v>4588</v>
      </c>
    </row>
    <row r="131" spans="1:37" x14ac:dyDescent="0.25">
      <c r="A131">
        <v>1</v>
      </c>
      <c r="B131">
        <v>0.5</v>
      </c>
      <c r="C131">
        <v>-1</v>
      </c>
      <c r="D131">
        <v>4710.875</v>
      </c>
      <c r="E131">
        <v>4633.6000000000004</v>
      </c>
      <c r="F131">
        <v>0</v>
      </c>
      <c r="G131">
        <v>14</v>
      </c>
      <c r="H131">
        <v>33</v>
      </c>
      <c r="I131">
        <v>-1</v>
      </c>
      <c r="J131">
        <v>-2</v>
      </c>
      <c r="K131">
        <v>-94</v>
      </c>
      <c r="L131">
        <v>4962</v>
      </c>
      <c r="T131">
        <v>20081112</v>
      </c>
      <c r="U131">
        <v>4488</v>
      </c>
      <c r="V131">
        <v>4596</v>
      </c>
      <c r="W131">
        <v>4420</v>
      </c>
      <c r="X131">
        <v>4521</v>
      </c>
      <c r="Y131">
        <v>126301</v>
      </c>
      <c r="Z131">
        <v>14</v>
      </c>
      <c r="AA131">
        <v>33</v>
      </c>
      <c r="AB131">
        <v>1</v>
      </c>
      <c r="AC131">
        <v>0.5</v>
      </c>
      <c r="AD131">
        <v>0</v>
      </c>
      <c r="AE131">
        <v>4710.875</v>
      </c>
      <c r="AF131">
        <v>4633.6000000000004</v>
      </c>
      <c r="AG131">
        <v>0</v>
      </c>
      <c r="AH131">
        <v>0</v>
      </c>
      <c r="AI131">
        <v>2</v>
      </c>
      <c r="AJ131">
        <v>94</v>
      </c>
      <c r="AK131">
        <v>4682</v>
      </c>
    </row>
    <row r="132" spans="1:37" x14ac:dyDescent="0.25">
      <c r="A132">
        <v>0</v>
      </c>
      <c r="B132">
        <v>0.4</v>
      </c>
      <c r="C132">
        <v>-1</v>
      </c>
      <c r="D132">
        <v>4622.5</v>
      </c>
      <c r="E132">
        <v>4598.95</v>
      </c>
      <c r="F132">
        <v>0</v>
      </c>
      <c r="G132">
        <v>-216</v>
      </c>
      <c r="H132">
        <v>-20</v>
      </c>
      <c r="I132">
        <v>-1</v>
      </c>
      <c r="J132">
        <v>-2</v>
      </c>
      <c r="K132">
        <v>472</v>
      </c>
      <c r="L132">
        <v>5434</v>
      </c>
      <c r="T132">
        <v>20081113</v>
      </c>
      <c r="U132">
        <v>4305</v>
      </c>
      <c r="V132">
        <v>4331</v>
      </c>
      <c r="W132">
        <v>4206</v>
      </c>
      <c r="X132">
        <v>4285</v>
      </c>
      <c r="Y132">
        <v>94643</v>
      </c>
      <c r="Z132">
        <v>-216</v>
      </c>
      <c r="AA132">
        <v>-20</v>
      </c>
      <c r="AB132">
        <v>0</v>
      </c>
      <c r="AC132">
        <v>0.4</v>
      </c>
      <c r="AD132">
        <v>0</v>
      </c>
      <c r="AE132">
        <v>4622.5</v>
      </c>
      <c r="AF132">
        <v>4598.95</v>
      </c>
      <c r="AG132">
        <v>0</v>
      </c>
      <c r="AH132">
        <v>0</v>
      </c>
      <c r="AI132">
        <v>2</v>
      </c>
      <c r="AJ132">
        <v>-472</v>
      </c>
      <c r="AK132">
        <v>4210</v>
      </c>
    </row>
    <row r="133" spans="1:37" x14ac:dyDescent="0.25">
      <c r="A133">
        <v>1</v>
      </c>
      <c r="B133">
        <v>0.4</v>
      </c>
      <c r="C133">
        <v>-1</v>
      </c>
      <c r="D133">
        <v>4547.75</v>
      </c>
      <c r="E133">
        <v>4577.75</v>
      </c>
      <c r="F133">
        <v>-1</v>
      </c>
      <c r="G133">
        <v>214</v>
      </c>
      <c r="H133">
        <v>-119</v>
      </c>
      <c r="I133">
        <v>-1</v>
      </c>
      <c r="J133">
        <v>-2</v>
      </c>
      <c r="K133">
        <v>-190</v>
      </c>
      <c r="L133">
        <v>5244</v>
      </c>
      <c r="T133">
        <v>20081114</v>
      </c>
      <c r="U133">
        <v>4499</v>
      </c>
      <c r="V133">
        <v>4514</v>
      </c>
      <c r="W133">
        <v>4345</v>
      </c>
      <c r="X133">
        <v>4380</v>
      </c>
      <c r="Y133">
        <v>113760</v>
      </c>
      <c r="Z133">
        <v>214</v>
      </c>
      <c r="AA133">
        <v>-119</v>
      </c>
      <c r="AB133">
        <v>1</v>
      </c>
      <c r="AC133">
        <v>0.4</v>
      </c>
      <c r="AD133">
        <v>0</v>
      </c>
      <c r="AE133">
        <v>4547.75</v>
      </c>
      <c r="AF133">
        <v>4577.75</v>
      </c>
      <c r="AG133">
        <v>-1</v>
      </c>
      <c r="AH133">
        <v>-1</v>
      </c>
      <c r="AI133">
        <v>2</v>
      </c>
      <c r="AJ133">
        <v>190</v>
      </c>
      <c r="AK133">
        <v>4400</v>
      </c>
    </row>
    <row r="134" spans="1:37" x14ac:dyDescent="0.25">
      <c r="A134">
        <v>0</v>
      </c>
      <c r="B134">
        <v>0.3</v>
      </c>
      <c r="C134">
        <v>-1</v>
      </c>
      <c r="D134">
        <v>4479.875</v>
      </c>
      <c r="E134">
        <v>4554.45</v>
      </c>
      <c r="F134">
        <v>0</v>
      </c>
      <c r="G134">
        <v>-100</v>
      </c>
      <c r="H134">
        <v>77</v>
      </c>
      <c r="I134">
        <v>-1</v>
      </c>
      <c r="J134">
        <v>-2</v>
      </c>
      <c r="K134">
        <v>46</v>
      </c>
      <c r="L134">
        <v>5290</v>
      </c>
      <c r="T134">
        <v>20081117</v>
      </c>
      <c r="U134">
        <v>4280</v>
      </c>
      <c r="V134">
        <v>4432</v>
      </c>
      <c r="W134">
        <v>4263</v>
      </c>
      <c r="X134">
        <v>4357</v>
      </c>
      <c r="Y134">
        <v>103013</v>
      </c>
      <c r="Z134">
        <v>-100</v>
      </c>
      <c r="AA134">
        <v>77</v>
      </c>
      <c r="AB134">
        <v>0</v>
      </c>
      <c r="AC134">
        <v>0.3</v>
      </c>
      <c r="AD134">
        <v>0</v>
      </c>
      <c r="AE134">
        <v>4479.875</v>
      </c>
      <c r="AF134">
        <v>4554.45</v>
      </c>
      <c r="AG134">
        <v>0</v>
      </c>
      <c r="AH134">
        <v>0</v>
      </c>
      <c r="AI134">
        <v>1</v>
      </c>
      <c r="AJ134">
        <v>-123</v>
      </c>
      <c r="AK134">
        <v>4277</v>
      </c>
    </row>
    <row r="135" spans="1:37" x14ac:dyDescent="0.25">
      <c r="A135">
        <v>0</v>
      </c>
      <c r="B135">
        <v>0.3</v>
      </c>
      <c r="C135">
        <v>-1</v>
      </c>
      <c r="D135">
        <v>4440.75</v>
      </c>
      <c r="E135">
        <v>4525.8</v>
      </c>
      <c r="F135">
        <v>0</v>
      </c>
      <c r="G135">
        <v>-6</v>
      </c>
      <c r="H135">
        <v>-107</v>
      </c>
      <c r="I135">
        <v>-1</v>
      </c>
      <c r="J135">
        <v>-2</v>
      </c>
      <c r="K135">
        <v>226</v>
      </c>
      <c r="L135">
        <v>5516</v>
      </c>
      <c r="T135">
        <v>20081118</v>
      </c>
      <c r="U135">
        <v>4351</v>
      </c>
      <c r="V135">
        <v>4351</v>
      </c>
      <c r="W135">
        <v>4207</v>
      </c>
      <c r="X135">
        <v>4244</v>
      </c>
      <c r="Y135">
        <v>97510</v>
      </c>
      <c r="Z135">
        <v>-6</v>
      </c>
      <c r="AA135">
        <v>-107</v>
      </c>
      <c r="AB135">
        <v>0</v>
      </c>
      <c r="AC135">
        <v>0.3</v>
      </c>
      <c r="AD135">
        <v>0</v>
      </c>
      <c r="AE135">
        <v>4440.75</v>
      </c>
      <c r="AF135">
        <v>4525.8</v>
      </c>
      <c r="AG135">
        <v>0</v>
      </c>
      <c r="AH135">
        <v>0</v>
      </c>
      <c r="AI135">
        <v>1</v>
      </c>
      <c r="AJ135">
        <v>-113</v>
      </c>
      <c r="AK135">
        <v>4164</v>
      </c>
    </row>
    <row r="136" spans="1:37" x14ac:dyDescent="0.25">
      <c r="A136">
        <v>0</v>
      </c>
      <c r="B136">
        <v>0.3</v>
      </c>
      <c r="C136">
        <v>-1</v>
      </c>
      <c r="D136">
        <v>4380.25</v>
      </c>
      <c r="E136">
        <v>4500.45</v>
      </c>
      <c r="F136">
        <v>0</v>
      </c>
      <c r="G136">
        <v>-133</v>
      </c>
      <c r="H136">
        <v>38</v>
      </c>
      <c r="I136">
        <v>-1</v>
      </c>
      <c r="J136">
        <v>-2</v>
      </c>
      <c r="K136">
        <v>190</v>
      </c>
      <c r="L136">
        <v>5706</v>
      </c>
      <c r="T136">
        <v>20081119</v>
      </c>
      <c r="U136">
        <v>4111</v>
      </c>
      <c r="V136">
        <v>4165</v>
      </c>
      <c r="W136">
        <v>4070</v>
      </c>
      <c r="X136">
        <v>4149</v>
      </c>
      <c r="Y136">
        <v>47938</v>
      </c>
      <c r="Z136">
        <v>-133</v>
      </c>
      <c r="AA136">
        <v>38</v>
      </c>
      <c r="AB136">
        <v>0</v>
      </c>
      <c r="AC136">
        <v>0.3</v>
      </c>
      <c r="AD136">
        <v>0</v>
      </c>
      <c r="AE136">
        <v>4380.25</v>
      </c>
      <c r="AF136">
        <v>4500.45</v>
      </c>
      <c r="AG136">
        <v>0</v>
      </c>
      <c r="AH136">
        <v>0</v>
      </c>
      <c r="AI136">
        <v>1</v>
      </c>
      <c r="AJ136">
        <v>-95</v>
      </c>
      <c r="AK136">
        <v>4069</v>
      </c>
    </row>
    <row r="137" spans="1:37" x14ac:dyDescent="0.25">
      <c r="A137">
        <v>0</v>
      </c>
      <c r="B137">
        <v>0.3</v>
      </c>
      <c r="C137">
        <v>-1</v>
      </c>
      <c r="D137">
        <v>4289.125</v>
      </c>
      <c r="E137">
        <v>4470.8999999999996</v>
      </c>
      <c r="F137">
        <v>0</v>
      </c>
      <c r="G137">
        <v>-196</v>
      </c>
      <c r="H137">
        <v>-50</v>
      </c>
      <c r="I137">
        <v>-1</v>
      </c>
      <c r="J137">
        <v>-2</v>
      </c>
      <c r="K137">
        <v>492</v>
      </c>
      <c r="L137">
        <v>6198</v>
      </c>
      <c r="T137">
        <v>20081120</v>
      </c>
      <c r="U137">
        <v>3953</v>
      </c>
      <c r="V137">
        <v>4027</v>
      </c>
      <c r="W137">
        <v>3866</v>
      </c>
      <c r="X137">
        <v>3903</v>
      </c>
      <c r="Y137">
        <v>90469</v>
      </c>
      <c r="Z137">
        <v>-196</v>
      </c>
      <c r="AA137">
        <v>-50</v>
      </c>
      <c r="AB137">
        <v>0</v>
      </c>
      <c r="AC137">
        <v>0.3</v>
      </c>
      <c r="AD137">
        <v>0</v>
      </c>
      <c r="AE137">
        <v>4289.125</v>
      </c>
      <c r="AF137">
        <v>4470.8999999999996</v>
      </c>
      <c r="AG137">
        <v>0</v>
      </c>
      <c r="AH137">
        <v>0</v>
      </c>
      <c r="AI137">
        <v>1</v>
      </c>
      <c r="AJ137">
        <v>-246</v>
      </c>
      <c r="AK137">
        <v>3823</v>
      </c>
    </row>
    <row r="138" spans="1:37" x14ac:dyDescent="0.25">
      <c r="A138">
        <v>1</v>
      </c>
      <c r="B138">
        <v>0.3</v>
      </c>
      <c r="C138">
        <v>-1</v>
      </c>
      <c r="D138">
        <v>4245</v>
      </c>
      <c r="E138">
        <v>4460.1000000000004</v>
      </c>
      <c r="F138">
        <v>0</v>
      </c>
      <c r="G138">
        <v>-23</v>
      </c>
      <c r="H138">
        <v>241</v>
      </c>
      <c r="I138">
        <v>-1</v>
      </c>
      <c r="J138">
        <v>-2</v>
      </c>
      <c r="K138">
        <v>-436</v>
      </c>
      <c r="L138">
        <v>5762</v>
      </c>
      <c r="T138">
        <v>20081121</v>
      </c>
      <c r="U138">
        <v>3880</v>
      </c>
      <c r="V138">
        <v>4129</v>
      </c>
      <c r="W138">
        <v>3815</v>
      </c>
      <c r="X138">
        <v>4121</v>
      </c>
      <c r="Y138">
        <v>125163</v>
      </c>
      <c r="Z138">
        <v>-23</v>
      </c>
      <c r="AA138">
        <v>241</v>
      </c>
      <c r="AB138">
        <v>1</v>
      </c>
      <c r="AC138">
        <v>0.3</v>
      </c>
      <c r="AD138">
        <v>0</v>
      </c>
      <c r="AE138">
        <v>4245</v>
      </c>
      <c r="AF138">
        <v>4460.1000000000004</v>
      </c>
      <c r="AG138">
        <v>0</v>
      </c>
      <c r="AH138">
        <v>0</v>
      </c>
      <c r="AI138">
        <v>1</v>
      </c>
      <c r="AJ138">
        <v>218</v>
      </c>
      <c r="AK138">
        <v>4041</v>
      </c>
    </row>
    <row r="139" spans="1:37" x14ac:dyDescent="0.25">
      <c r="A139">
        <v>0</v>
      </c>
      <c r="B139">
        <v>0.3</v>
      </c>
      <c r="C139">
        <v>-1</v>
      </c>
      <c r="D139">
        <v>4185.5</v>
      </c>
      <c r="E139">
        <v>4460.6499999999996</v>
      </c>
      <c r="F139">
        <v>0</v>
      </c>
      <c r="G139">
        <v>-40</v>
      </c>
      <c r="H139">
        <v>-36</v>
      </c>
      <c r="I139">
        <v>-1</v>
      </c>
      <c r="J139">
        <v>-2</v>
      </c>
      <c r="K139">
        <v>152</v>
      </c>
      <c r="L139">
        <v>5914</v>
      </c>
      <c r="T139">
        <v>20081124</v>
      </c>
      <c r="U139">
        <v>4081</v>
      </c>
      <c r="V139">
        <v>4108</v>
      </c>
      <c r="W139">
        <v>3972</v>
      </c>
      <c r="X139">
        <v>4045</v>
      </c>
      <c r="Y139">
        <v>100402</v>
      </c>
      <c r="Z139">
        <v>-40</v>
      </c>
      <c r="AA139">
        <v>-36</v>
      </c>
      <c r="AB139">
        <v>0</v>
      </c>
      <c r="AC139">
        <v>0.3</v>
      </c>
      <c r="AD139">
        <v>0</v>
      </c>
      <c r="AE139">
        <v>4185.5</v>
      </c>
      <c r="AF139">
        <v>4460.6499999999996</v>
      </c>
      <c r="AG139">
        <v>0</v>
      </c>
      <c r="AH139">
        <v>0</v>
      </c>
      <c r="AI139">
        <v>1</v>
      </c>
      <c r="AJ139">
        <v>-76</v>
      </c>
      <c r="AK139">
        <v>3965</v>
      </c>
    </row>
    <row r="140" spans="1:37" x14ac:dyDescent="0.25">
      <c r="A140">
        <v>1</v>
      </c>
      <c r="B140">
        <v>0.4</v>
      </c>
      <c r="C140">
        <v>-1</v>
      </c>
      <c r="D140">
        <v>4174.75</v>
      </c>
      <c r="E140">
        <v>4454.8</v>
      </c>
      <c r="F140">
        <v>0</v>
      </c>
      <c r="G140">
        <v>177</v>
      </c>
      <c r="H140">
        <v>-23</v>
      </c>
      <c r="I140">
        <v>-1</v>
      </c>
      <c r="J140">
        <v>-2</v>
      </c>
      <c r="K140">
        <v>-308</v>
      </c>
      <c r="L140">
        <v>5606</v>
      </c>
      <c r="T140">
        <v>20081125</v>
      </c>
      <c r="U140">
        <v>4222</v>
      </c>
      <c r="V140">
        <v>4285</v>
      </c>
      <c r="W140">
        <v>4112</v>
      </c>
      <c r="X140">
        <v>4199</v>
      </c>
      <c r="Y140">
        <v>123507</v>
      </c>
      <c r="Z140">
        <v>177</v>
      </c>
      <c r="AA140">
        <v>-23</v>
      </c>
      <c r="AB140">
        <v>1</v>
      </c>
      <c r="AC140">
        <v>0.4</v>
      </c>
      <c r="AD140">
        <v>0</v>
      </c>
      <c r="AE140">
        <v>4174.75</v>
      </c>
      <c r="AF140">
        <v>4454.8</v>
      </c>
      <c r="AG140">
        <v>0</v>
      </c>
      <c r="AH140">
        <v>0</v>
      </c>
      <c r="AI140">
        <v>1</v>
      </c>
      <c r="AJ140">
        <v>154</v>
      </c>
      <c r="AK140">
        <v>4119</v>
      </c>
    </row>
    <row r="141" spans="1:37" x14ac:dyDescent="0.25">
      <c r="A141">
        <v>1</v>
      </c>
      <c r="B141">
        <v>0.4</v>
      </c>
      <c r="C141">
        <v>-1</v>
      </c>
      <c r="D141">
        <v>4153.375</v>
      </c>
      <c r="E141">
        <v>4450.8500000000004</v>
      </c>
      <c r="F141">
        <v>0</v>
      </c>
      <c r="G141">
        <v>38</v>
      </c>
      <c r="H141">
        <v>-28</v>
      </c>
      <c r="I141">
        <v>-1</v>
      </c>
      <c r="J141">
        <v>-2</v>
      </c>
      <c r="K141">
        <v>-20</v>
      </c>
      <c r="L141">
        <v>5586</v>
      </c>
      <c r="T141">
        <v>20081126</v>
      </c>
      <c r="U141">
        <v>4237</v>
      </c>
      <c r="V141">
        <v>4268</v>
      </c>
      <c r="W141">
        <v>4176</v>
      </c>
      <c r="X141">
        <v>4209</v>
      </c>
      <c r="Y141">
        <v>107756</v>
      </c>
      <c r="Z141">
        <v>38</v>
      </c>
      <c r="AA141">
        <v>-28</v>
      </c>
      <c r="AB141">
        <v>1</v>
      </c>
      <c r="AC141">
        <v>0.4</v>
      </c>
      <c r="AD141">
        <v>0</v>
      </c>
      <c r="AE141">
        <v>4153.375</v>
      </c>
      <c r="AF141">
        <v>4450.8500000000004</v>
      </c>
      <c r="AG141">
        <v>0</v>
      </c>
      <c r="AH141">
        <v>0</v>
      </c>
      <c r="AI141">
        <v>1</v>
      </c>
      <c r="AJ141">
        <v>10</v>
      </c>
      <c r="AK141">
        <v>4129</v>
      </c>
    </row>
    <row r="142" spans="1:37" x14ac:dyDescent="0.25">
      <c r="A142">
        <v>1</v>
      </c>
      <c r="B142">
        <v>0.5</v>
      </c>
      <c r="C142">
        <v>-1</v>
      </c>
      <c r="D142">
        <v>4162.5</v>
      </c>
      <c r="E142">
        <v>4442.6499999999996</v>
      </c>
      <c r="F142">
        <v>0</v>
      </c>
      <c r="G142">
        <v>121</v>
      </c>
      <c r="H142">
        <v>100</v>
      </c>
      <c r="I142">
        <v>-1</v>
      </c>
      <c r="J142">
        <v>-2</v>
      </c>
      <c r="K142">
        <v>-442</v>
      </c>
      <c r="L142">
        <v>5144</v>
      </c>
      <c r="T142">
        <v>20081127</v>
      </c>
      <c r="U142">
        <v>4330</v>
      </c>
      <c r="V142">
        <v>4488</v>
      </c>
      <c r="W142">
        <v>4292</v>
      </c>
      <c r="X142">
        <v>4430</v>
      </c>
      <c r="Y142">
        <v>105391</v>
      </c>
      <c r="Z142">
        <v>121</v>
      </c>
      <c r="AA142">
        <v>100</v>
      </c>
      <c r="AB142">
        <v>1</v>
      </c>
      <c r="AC142">
        <v>0.5</v>
      </c>
      <c r="AD142">
        <v>0</v>
      </c>
      <c r="AE142">
        <v>4162.5</v>
      </c>
      <c r="AF142">
        <v>4442.6499999999996</v>
      </c>
      <c r="AG142">
        <v>0</v>
      </c>
      <c r="AH142">
        <v>0</v>
      </c>
      <c r="AI142">
        <v>1</v>
      </c>
      <c r="AJ142">
        <v>221</v>
      </c>
      <c r="AK142">
        <v>4350</v>
      </c>
    </row>
    <row r="143" spans="1:37" x14ac:dyDescent="0.25">
      <c r="A143">
        <v>1</v>
      </c>
      <c r="B143">
        <v>0.5</v>
      </c>
      <c r="C143">
        <v>-1</v>
      </c>
      <c r="D143">
        <v>4189.5</v>
      </c>
      <c r="E143">
        <v>4423.45</v>
      </c>
      <c r="F143">
        <v>0</v>
      </c>
      <c r="G143">
        <v>5</v>
      </c>
      <c r="H143">
        <v>25</v>
      </c>
      <c r="I143">
        <v>-1</v>
      </c>
      <c r="J143">
        <v>-2</v>
      </c>
      <c r="K143">
        <v>-60</v>
      </c>
      <c r="L143">
        <v>5084</v>
      </c>
      <c r="T143">
        <v>20081128</v>
      </c>
      <c r="U143">
        <v>4435</v>
      </c>
      <c r="V143">
        <v>4465</v>
      </c>
      <c r="W143">
        <v>4388</v>
      </c>
      <c r="X143">
        <v>4460</v>
      </c>
      <c r="Y143">
        <v>84211</v>
      </c>
      <c r="Z143">
        <v>5</v>
      </c>
      <c r="AA143">
        <v>25</v>
      </c>
      <c r="AB143">
        <v>1</v>
      </c>
      <c r="AC143">
        <v>0.5</v>
      </c>
      <c r="AD143">
        <v>0</v>
      </c>
      <c r="AE143">
        <v>4189.5</v>
      </c>
      <c r="AF143">
        <v>4423.45</v>
      </c>
      <c r="AG143">
        <v>0</v>
      </c>
      <c r="AH143">
        <v>0</v>
      </c>
      <c r="AI143">
        <v>1</v>
      </c>
      <c r="AJ143">
        <v>30</v>
      </c>
      <c r="AK143">
        <v>4380</v>
      </c>
    </row>
    <row r="144" spans="1:37" x14ac:dyDescent="0.25">
      <c r="A144">
        <v>1</v>
      </c>
      <c r="B144">
        <v>0.6</v>
      </c>
      <c r="C144">
        <v>-1</v>
      </c>
      <c r="D144">
        <v>4233.5</v>
      </c>
      <c r="E144">
        <v>4398.8999999999996</v>
      </c>
      <c r="F144">
        <v>0</v>
      </c>
      <c r="G144">
        <v>-40</v>
      </c>
      <c r="H144">
        <v>81</v>
      </c>
      <c r="I144">
        <v>-1</v>
      </c>
      <c r="J144">
        <v>-2</v>
      </c>
      <c r="K144">
        <v>-82</v>
      </c>
      <c r="L144">
        <v>5002</v>
      </c>
      <c r="T144">
        <v>20081201</v>
      </c>
      <c r="U144">
        <v>4420</v>
      </c>
      <c r="V144">
        <v>4580</v>
      </c>
      <c r="W144">
        <v>4389</v>
      </c>
      <c r="X144">
        <v>4501</v>
      </c>
      <c r="Y144">
        <v>106517</v>
      </c>
      <c r="Z144">
        <v>-40</v>
      </c>
      <c r="AA144">
        <v>81</v>
      </c>
      <c r="AB144">
        <v>1</v>
      </c>
      <c r="AC144">
        <v>0.6</v>
      </c>
      <c r="AD144">
        <v>-1</v>
      </c>
      <c r="AE144">
        <v>4233.5</v>
      </c>
      <c r="AF144">
        <v>4398.8999999999996</v>
      </c>
      <c r="AG144">
        <v>0</v>
      </c>
      <c r="AH144">
        <v>-1</v>
      </c>
      <c r="AI144">
        <v>1</v>
      </c>
      <c r="AJ144">
        <v>41</v>
      </c>
      <c r="AK144">
        <v>4421</v>
      </c>
    </row>
    <row r="145" spans="1:37" x14ac:dyDescent="0.25">
      <c r="A145">
        <v>0</v>
      </c>
      <c r="B145">
        <v>0.6</v>
      </c>
      <c r="C145">
        <v>-1</v>
      </c>
      <c r="D145">
        <v>4275.625</v>
      </c>
      <c r="E145">
        <v>4362</v>
      </c>
      <c r="F145">
        <v>0</v>
      </c>
      <c r="G145">
        <v>-202</v>
      </c>
      <c r="H145">
        <v>-59</v>
      </c>
      <c r="I145">
        <v>-1</v>
      </c>
      <c r="J145">
        <v>-2</v>
      </c>
      <c r="K145">
        <v>522</v>
      </c>
      <c r="L145">
        <v>5524</v>
      </c>
      <c r="T145">
        <v>20081202</v>
      </c>
      <c r="U145">
        <v>4299</v>
      </c>
      <c r="V145">
        <v>4324</v>
      </c>
      <c r="W145">
        <v>4206</v>
      </c>
      <c r="X145">
        <v>4240</v>
      </c>
      <c r="Y145">
        <v>89984</v>
      </c>
      <c r="Z145">
        <v>-202</v>
      </c>
      <c r="AA145">
        <v>-59</v>
      </c>
      <c r="AB145">
        <v>0</v>
      </c>
      <c r="AC145">
        <v>0.6</v>
      </c>
      <c r="AD145">
        <v>-1</v>
      </c>
      <c r="AE145">
        <v>4275.625</v>
      </c>
      <c r="AF145">
        <v>4362</v>
      </c>
      <c r="AG145">
        <v>0</v>
      </c>
      <c r="AH145">
        <v>-1</v>
      </c>
      <c r="AI145">
        <v>0</v>
      </c>
      <c r="AJ145">
        <v>-202</v>
      </c>
      <c r="AK145">
        <v>4219</v>
      </c>
    </row>
    <row r="146" spans="1:37" x14ac:dyDescent="0.25">
      <c r="A146">
        <v>0</v>
      </c>
      <c r="B146">
        <v>0.6</v>
      </c>
      <c r="C146">
        <v>-1</v>
      </c>
      <c r="D146">
        <v>4284</v>
      </c>
      <c r="E146">
        <v>4326.3999999999996</v>
      </c>
      <c r="F146">
        <v>0</v>
      </c>
      <c r="G146">
        <v>28</v>
      </c>
      <c r="H146">
        <v>-80</v>
      </c>
      <c r="I146">
        <v>-1</v>
      </c>
      <c r="J146">
        <v>-2</v>
      </c>
      <c r="K146">
        <v>104</v>
      </c>
      <c r="L146">
        <v>5628</v>
      </c>
      <c r="T146">
        <v>20081203</v>
      </c>
      <c r="U146">
        <v>4268</v>
      </c>
      <c r="V146">
        <v>4306</v>
      </c>
      <c r="W146">
        <v>4186</v>
      </c>
      <c r="X146">
        <v>4188</v>
      </c>
      <c r="Y146">
        <v>94456</v>
      </c>
      <c r="Z146">
        <v>28</v>
      </c>
      <c r="AA146">
        <v>-80</v>
      </c>
      <c r="AB146">
        <v>0</v>
      </c>
      <c r="AC146">
        <v>0.6</v>
      </c>
      <c r="AD146">
        <v>-1</v>
      </c>
      <c r="AE146">
        <v>4284</v>
      </c>
      <c r="AF146">
        <v>4326.3999999999996</v>
      </c>
      <c r="AG146">
        <v>0</v>
      </c>
      <c r="AH146">
        <v>-1</v>
      </c>
      <c r="AI146">
        <v>-1</v>
      </c>
      <c r="AJ146">
        <v>80</v>
      </c>
      <c r="AK146">
        <v>4299</v>
      </c>
    </row>
    <row r="147" spans="1:37" x14ac:dyDescent="0.25">
      <c r="A147">
        <v>0</v>
      </c>
      <c r="B147">
        <v>0.6</v>
      </c>
      <c r="C147">
        <v>-1</v>
      </c>
      <c r="D147">
        <v>4295.75</v>
      </c>
      <c r="E147">
        <v>4305.5</v>
      </c>
      <c r="F147">
        <v>0</v>
      </c>
      <c r="G147">
        <v>58</v>
      </c>
      <c r="H147">
        <v>-107</v>
      </c>
      <c r="I147">
        <v>-1</v>
      </c>
      <c r="J147">
        <v>-2</v>
      </c>
      <c r="K147">
        <v>98</v>
      </c>
      <c r="L147">
        <v>5726</v>
      </c>
      <c r="T147">
        <v>20081204</v>
      </c>
      <c r="U147">
        <v>4246</v>
      </c>
      <c r="V147">
        <v>4284</v>
      </c>
      <c r="W147">
        <v>4100</v>
      </c>
      <c r="X147">
        <v>4139</v>
      </c>
      <c r="Y147">
        <v>101059</v>
      </c>
      <c r="Z147">
        <v>58</v>
      </c>
      <c r="AA147">
        <v>-107</v>
      </c>
      <c r="AB147">
        <v>0</v>
      </c>
      <c r="AC147">
        <v>0.6</v>
      </c>
      <c r="AD147">
        <v>-1</v>
      </c>
      <c r="AE147">
        <v>4295.75</v>
      </c>
      <c r="AF147">
        <v>4305.5</v>
      </c>
      <c r="AG147">
        <v>0</v>
      </c>
      <c r="AH147">
        <v>-1</v>
      </c>
      <c r="AI147">
        <v>-2</v>
      </c>
      <c r="AJ147">
        <v>156</v>
      </c>
      <c r="AK147">
        <v>4455</v>
      </c>
    </row>
    <row r="148" spans="1:37" x14ac:dyDescent="0.25">
      <c r="A148">
        <v>1</v>
      </c>
      <c r="B148">
        <v>0.6</v>
      </c>
      <c r="C148">
        <v>-1</v>
      </c>
      <c r="D148">
        <v>4293.25</v>
      </c>
      <c r="E148">
        <v>4282.8</v>
      </c>
      <c r="F148">
        <v>1</v>
      </c>
      <c r="G148">
        <v>31</v>
      </c>
      <c r="H148">
        <v>9</v>
      </c>
      <c r="I148">
        <v>1</v>
      </c>
      <c r="J148">
        <v>-2</v>
      </c>
      <c r="K148">
        <v>-80</v>
      </c>
      <c r="L148">
        <v>5646</v>
      </c>
      <c r="T148">
        <v>20081205</v>
      </c>
      <c r="U148">
        <v>4170</v>
      </c>
      <c r="V148">
        <v>4202</v>
      </c>
      <c r="W148">
        <v>4103</v>
      </c>
      <c r="X148">
        <v>4179</v>
      </c>
      <c r="Y148">
        <v>91680</v>
      </c>
      <c r="Z148">
        <v>31</v>
      </c>
      <c r="AA148">
        <v>9</v>
      </c>
      <c r="AB148">
        <v>1</v>
      </c>
      <c r="AC148">
        <v>0.6</v>
      </c>
      <c r="AD148">
        <v>-1</v>
      </c>
      <c r="AE148">
        <v>4293.25</v>
      </c>
      <c r="AF148">
        <v>4282.8</v>
      </c>
      <c r="AG148">
        <v>1</v>
      </c>
      <c r="AH148">
        <v>1</v>
      </c>
      <c r="AI148">
        <v>-2</v>
      </c>
      <c r="AJ148">
        <v>-80</v>
      </c>
      <c r="AK148">
        <v>4375</v>
      </c>
    </row>
    <row r="149" spans="1:37" x14ac:dyDescent="0.25">
      <c r="A149">
        <v>1</v>
      </c>
      <c r="B149">
        <v>0.7</v>
      </c>
      <c r="C149">
        <v>-1</v>
      </c>
      <c r="D149">
        <v>4326</v>
      </c>
      <c r="E149">
        <v>4274.75</v>
      </c>
      <c r="F149">
        <v>0</v>
      </c>
      <c r="G149">
        <v>66</v>
      </c>
      <c r="H149">
        <v>226</v>
      </c>
      <c r="I149">
        <v>-1</v>
      </c>
      <c r="J149">
        <v>-1</v>
      </c>
      <c r="K149">
        <v>-358</v>
      </c>
      <c r="L149">
        <v>5288</v>
      </c>
      <c r="T149">
        <v>20081208</v>
      </c>
      <c r="U149">
        <v>4245</v>
      </c>
      <c r="V149">
        <v>4471</v>
      </c>
      <c r="W149">
        <v>4231</v>
      </c>
      <c r="X149">
        <v>4471</v>
      </c>
      <c r="Y149">
        <v>92030</v>
      </c>
      <c r="Z149">
        <v>66</v>
      </c>
      <c r="AA149">
        <v>226</v>
      </c>
      <c r="AB149">
        <v>1</v>
      </c>
      <c r="AC149">
        <v>0.7</v>
      </c>
      <c r="AD149">
        <v>-1</v>
      </c>
      <c r="AE149">
        <v>4326</v>
      </c>
      <c r="AF149">
        <v>4274.75</v>
      </c>
      <c r="AG149">
        <v>0</v>
      </c>
      <c r="AH149">
        <v>-1</v>
      </c>
      <c r="AI149">
        <v>-1</v>
      </c>
      <c r="AJ149">
        <v>-358</v>
      </c>
      <c r="AK149">
        <v>4017</v>
      </c>
    </row>
    <row r="150" spans="1:37" x14ac:dyDescent="0.25">
      <c r="A150">
        <v>0</v>
      </c>
      <c r="B150">
        <v>0.6</v>
      </c>
      <c r="C150">
        <v>-1</v>
      </c>
      <c r="D150">
        <v>4329.75</v>
      </c>
      <c r="E150">
        <v>4274.05</v>
      </c>
      <c r="F150">
        <v>0</v>
      </c>
      <c r="G150">
        <v>24</v>
      </c>
      <c r="H150">
        <v>-35</v>
      </c>
      <c r="I150">
        <v>-1</v>
      </c>
      <c r="J150">
        <v>-2</v>
      </c>
      <c r="K150">
        <v>46</v>
      </c>
      <c r="L150">
        <v>5334</v>
      </c>
      <c r="T150">
        <v>20081209</v>
      </c>
      <c r="U150">
        <v>4495</v>
      </c>
      <c r="V150">
        <v>4546</v>
      </c>
      <c r="W150">
        <v>4432</v>
      </c>
      <c r="X150">
        <v>4460</v>
      </c>
      <c r="Y150">
        <v>107827</v>
      </c>
      <c r="Z150">
        <v>24</v>
      </c>
      <c r="AA150">
        <v>-35</v>
      </c>
      <c r="AB150">
        <v>0</v>
      </c>
      <c r="AC150">
        <v>0.6</v>
      </c>
      <c r="AD150">
        <v>-1</v>
      </c>
      <c r="AE150">
        <v>4329.75</v>
      </c>
      <c r="AF150">
        <v>4274.05</v>
      </c>
      <c r="AG150">
        <v>0</v>
      </c>
      <c r="AH150">
        <v>-1</v>
      </c>
      <c r="AI150">
        <v>-2</v>
      </c>
      <c r="AJ150">
        <v>46</v>
      </c>
      <c r="AK150">
        <v>4063</v>
      </c>
    </row>
    <row r="151" spans="1:37" x14ac:dyDescent="0.25">
      <c r="A151">
        <v>1</v>
      </c>
      <c r="B151">
        <v>0.6</v>
      </c>
      <c r="C151">
        <v>-1</v>
      </c>
      <c r="D151">
        <v>4358.625</v>
      </c>
      <c r="E151">
        <v>4282.55</v>
      </c>
      <c r="F151">
        <v>0</v>
      </c>
      <c r="G151">
        <v>26</v>
      </c>
      <c r="H151">
        <v>205</v>
      </c>
      <c r="I151">
        <v>-1</v>
      </c>
      <c r="J151">
        <v>-2</v>
      </c>
      <c r="K151">
        <v>-462</v>
      </c>
      <c r="L151">
        <v>4872</v>
      </c>
      <c r="T151">
        <v>20081210</v>
      </c>
      <c r="U151">
        <v>4486</v>
      </c>
      <c r="V151">
        <v>4724</v>
      </c>
      <c r="W151">
        <v>4471</v>
      </c>
      <c r="X151">
        <v>4691</v>
      </c>
      <c r="Y151">
        <v>113641</v>
      </c>
      <c r="Z151">
        <v>26</v>
      </c>
      <c r="AA151">
        <v>205</v>
      </c>
      <c r="AB151">
        <v>1</v>
      </c>
      <c r="AC151">
        <v>0.6</v>
      </c>
      <c r="AD151">
        <v>-1</v>
      </c>
      <c r="AE151">
        <v>4358.625</v>
      </c>
      <c r="AF151">
        <v>4282.55</v>
      </c>
      <c r="AG151">
        <v>0</v>
      </c>
      <c r="AH151">
        <v>-1</v>
      </c>
      <c r="AI151">
        <v>-2</v>
      </c>
      <c r="AJ151">
        <v>-462</v>
      </c>
      <c r="AK151">
        <v>3601</v>
      </c>
    </row>
    <row r="152" spans="1:37" x14ac:dyDescent="0.25">
      <c r="A152">
        <v>0</v>
      </c>
      <c r="B152">
        <v>0.5</v>
      </c>
      <c r="C152">
        <v>-1</v>
      </c>
      <c r="D152">
        <v>4379.25</v>
      </c>
      <c r="E152">
        <v>4301.6000000000004</v>
      </c>
      <c r="F152">
        <v>0</v>
      </c>
      <c r="G152">
        <v>-40</v>
      </c>
      <c r="H152">
        <v>15</v>
      </c>
      <c r="I152">
        <v>-1</v>
      </c>
      <c r="J152">
        <v>-2</v>
      </c>
      <c r="K152">
        <v>50</v>
      </c>
      <c r="L152">
        <v>4922</v>
      </c>
      <c r="T152">
        <v>20081211</v>
      </c>
      <c r="U152">
        <v>4651</v>
      </c>
      <c r="V152">
        <v>4704</v>
      </c>
      <c r="W152">
        <v>4625</v>
      </c>
      <c r="X152">
        <v>4666</v>
      </c>
      <c r="Y152">
        <v>95881</v>
      </c>
      <c r="Z152">
        <v>-40</v>
      </c>
      <c r="AA152">
        <v>15</v>
      </c>
      <c r="AB152">
        <v>0</v>
      </c>
      <c r="AC152">
        <v>0.5</v>
      </c>
      <c r="AD152">
        <v>0</v>
      </c>
      <c r="AE152">
        <v>4379.25</v>
      </c>
      <c r="AF152">
        <v>4301.6000000000004</v>
      </c>
      <c r="AG152">
        <v>0</v>
      </c>
      <c r="AH152">
        <v>0</v>
      </c>
      <c r="AI152">
        <v>-2</v>
      </c>
      <c r="AJ152">
        <v>50</v>
      </c>
      <c r="AK152">
        <v>3651</v>
      </c>
    </row>
    <row r="153" spans="1:37" x14ac:dyDescent="0.25">
      <c r="A153">
        <v>0</v>
      </c>
      <c r="B153">
        <v>0.4</v>
      </c>
      <c r="C153">
        <v>-1</v>
      </c>
      <c r="D153">
        <v>4402.375</v>
      </c>
      <c r="E153">
        <v>4303.8500000000004</v>
      </c>
      <c r="F153">
        <v>0</v>
      </c>
      <c r="G153">
        <v>-96</v>
      </c>
      <c r="H153">
        <v>-145</v>
      </c>
      <c r="I153">
        <v>-1</v>
      </c>
      <c r="J153">
        <v>-2</v>
      </c>
      <c r="K153">
        <v>482</v>
      </c>
      <c r="L153">
        <v>5404</v>
      </c>
      <c r="T153">
        <v>20081212</v>
      </c>
      <c r="U153">
        <v>4570</v>
      </c>
      <c r="V153">
        <v>4643</v>
      </c>
      <c r="W153">
        <v>4343</v>
      </c>
      <c r="X153">
        <v>4425</v>
      </c>
      <c r="Y153">
        <v>119805</v>
      </c>
      <c r="Z153">
        <v>-96</v>
      </c>
      <c r="AA153">
        <v>-145</v>
      </c>
      <c r="AB153">
        <v>0</v>
      </c>
      <c r="AC153">
        <v>0.4</v>
      </c>
      <c r="AD153">
        <v>0</v>
      </c>
      <c r="AE153">
        <v>4402.375</v>
      </c>
      <c r="AF153">
        <v>4303.8500000000004</v>
      </c>
      <c r="AG153">
        <v>0</v>
      </c>
      <c r="AH153">
        <v>0</v>
      </c>
      <c r="AI153">
        <v>-2</v>
      </c>
      <c r="AJ153">
        <v>482</v>
      </c>
      <c r="AK153">
        <v>4133</v>
      </c>
    </row>
    <row r="154" spans="1:37" x14ac:dyDescent="0.25">
      <c r="A154">
        <v>1</v>
      </c>
      <c r="B154">
        <v>0.4</v>
      </c>
      <c r="C154">
        <v>-1</v>
      </c>
      <c r="D154">
        <v>4455.125</v>
      </c>
      <c r="E154">
        <v>4316.5</v>
      </c>
      <c r="F154">
        <v>0</v>
      </c>
      <c r="G154">
        <v>190</v>
      </c>
      <c r="H154">
        <v>-5</v>
      </c>
      <c r="I154">
        <v>-1</v>
      </c>
      <c r="J154">
        <v>-2</v>
      </c>
      <c r="K154">
        <v>-370</v>
      </c>
      <c r="L154">
        <v>5034</v>
      </c>
      <c r="T154">
        <v>20081215</v>
      </c>
      <c r="U154">
        <v>4615</v>
      </c>
      <c r="V154">
        <v>4718</v>
      </c>
      <c r="W154">
        <v>4553</v>
      </c>
      <c r="X154">
        <v>4610</v>
      </c>
      <c r="Y154">
        <v>107596</v>
      </c>
      <c r="Z154">
        <v>190</v>
      </c>
      <c r="AA154">
        <v>-5</v>
      </c>
      <c r="AB154">
        <v>1</v>
      </c>
      <c r="AC154">
        <v>0.4</v>
      </c>
      <c r="AD154">
        <v>0</v>
      </c>
      <c r="AE154">
        <v>4455.125</v>
      </c>
      <c r="AF154">
        <v>4316.5</v>
      </c>
      <c r="AG154">
        <v>0</v>
      </c>
      <c r="AH154">
        <v>0</v>
      </c>
      <c r="AI154">
        <v>-2</v>
      </c>
      <c r="AJ154">
        <v>-370</v>
      </c>
      <c r="AK154">
        <v>3763</v>
      </c>
    </row>
    <row r="155" spans="1:37" x14ac:dyDescent="0.25">
      <c r="A155">
        <v>0</v>
      </c>
      <c r="B155">
        <v>0.4</v>
      </c>
      <c r="C155">
        <v>-1</v>
      </c>
      <c r="D155">
        <v>4510.875</v>
      </c>
      <c r="E155">
        <v>4333.55</v>
      </c>
      <c r="F155">
        <v>0</v>
      </c>
      <c r="G155">
        <v>-61</v>
      </c>
      <c r="H155">
        <v>36</v>
      </c>
      <c r="I155">
        <v>-1</v>
      </c>
      <c r="J155">
        <v>-2</v>
      </c>
      <c r="K155">
        <v>50</v>
      </c>
      <c r="L155">
        <v>5084</v>
      </c>
      <c r="T155">
        <v>20081216</v>
      </c>
      <c r="U155">
        <v>4549</v>
      </c>
      <c r="V155">
        <v>4614</v>
      </c>
      <c r="W155">
        <v>4521</v>
      </c>
      <c r="X155">
        <v>4585</v>
      </c>
      <c r="Y155">
        <v>78144</v>
      </c>
      <c r="Z155">
        <v>-61</v>
      </c>
      <c r="AA155">
        <v>36</v>
      </c>
      <c r="AB155">
        <v>0</v>
      </c>
      <c r="AC155">
        <v>0.4</v>
      </c>
      <c r="AD155">
        <v>0</v>
      </c>
      <c r="AE155">
        <v>4510.875</v>
      </c>
      <c r="AF155">
        <v>4333.55</v>
      </c>
      <c r="AG155">
        <v>0</v>
      </c>
      <c r="AH155">
        <v>0</v>
      </c>
      <c r="AI155">
        <v>-2</v>
      </c>
      <c r="AJ155">
        <v>50</v>
      </c>
      <c r="AK155">
        <v>3813</v>
      </c>
    </row>
    <row r="156" spans="1:37" x14ac:dyDescent="0.25">
      <c r="A156">
        <v>1</v>
      </c>
      <c r="B156">
        <v>0.5</v>
      </c>
      <c r="C156">
        <v>-1</v>
      </c>
      <c r="D156">
        <v>4566.375</v>
      </c>
      <c r="E156">
        <v>4357.25</v>
      </c>
      <c r="F156">
        <v>0</v>
      </c>
      <c r="G156">
        <v>86</v>
      </c>
      <c r="H156">
        <v>-48</v>
      </c>
      <c r="I156">
        <v>-1</v>
      </c>
      <c r="J156">
        <v>-2</v>
      </c>
      <c r="K156">
        <v>-76</v>
      </c>
      <c r="L156">
        <v>5008</v>
      </c>
      <c r="T156">
        <v>20081217</v>
      </c>
      <c r="U156">
        <v>4671</v>
      </c>
      <c r="V156">
        <v>4720</v>
      </c>
      <c r="W156">
        <v>4585</v>
      </c>
      <c r="X156">
        <v>4623</v>
      </c>
      <c r="Y156">
        <v>60082</v>
      </c>
      <c r="Z156">
        <v>86</v>
      </c>
      <c r="AA156">
        <v>-48</v>
      </c>
      <c r="AB156">
        <v>1</v>
      </c>
      <c r="AC156">
        <v>0.5</v>
      </c>
      <c r="AD156">
        <v>0</v>
      </c>
      <c r="AE156">
        <v>4566.375</v>
      </c>
      <c r="AF156">
        <v>4357.25</v>
      </c>
      <c r="AG156">
        <v>0</v>
      </c>
      <c r="AH156">
        <v>0</v>
      </c>
      <c r="AI156">
        <v>-2</v>
      </c>
      <c r="AJ156">
        <v>-76</v>
      </c>
      <c r="AK156">
        <v>3737</v>
      </c>
    </row>
    <row r="157" spans="1:37" x14ac:dyDescent="0.25">
      <c r="A157">
        <v>1</v>
      </c>
      <c r="B157">
        <v>0.6</v>
      </c>
      <c r="C157">
        <v>-1</v>
      </c>
      <c r="D157">
        <v>4594.875</v>
      </c>
      <c r="E157">
        <v>4397.05</v>
      </c>
      <c r="F157">
        <v>0</v>
      </c>
      <c r="G157">
        <v>57</v>
      </c>
      <c r="H157">
        <v>19</v>
      </c>
      <c r="I157">
        <v>-1</v>
      </c>
      <c r="J157">
        <v>-2</v>
      </c>
      <c r="K157">
        <v>-152</v>
      </c>
      <c r="L157">
        <v>4856</v>
      </c>
      <c r="T157">
        <v>20081218</v>
      </c>
      <c r="U157">
        <v>4680</v>
      </c>
      <c r="V157">
        <v>4705</v>
      </c>
      <c r="W157">
        <v>4596</v>
      </c>
      <c r="X157">
        <v>4699</v>
      </c>
      <c r="Y157">
        <v>87267</v>
      </c>
      <c r="Z157">
        <v>57</v>
      </c>
      <c r="AA157">
        <v>19</v>
      </c>
      <c r="AB157">
        <v>1</v>
      </c>
      <c r="AC157">
        <v>0.6</v>
      </c>
      <c r="AD157">
        <v>-1</v>
      </c>
      <c r="AE157">
        <v>4594.875</v>
      </c>
      <c r="AF157">
        <v>4397.05</v>
      </c>
      <c r="AG157">
        <v>0</v>
      </c>
      <c r="AH157">
        <v>-1</v>
      </c>
      <c r="AI157">
        <v>-2</v>
      </c>
      <c r="AJ157">
        <v>-152</v>
      </c>
      <c r="AK157">
        <v>3585</v>
      </c>
    </row>
    <row r="158" spans="1:37" x14ac:dyDescent="0.25">
      <c r="A158">
        <v>0</v>
      </c>
      <c r="B158">
        <v>0.5</v>
      </c>
      <c r="C158">
        <v>-1</v>
      </c>
      <c r="D158">
        <v>4622.375</v>
      </c>
      <c r="E158">
        <v>4425</v>
      </c>
      <c r="F158">
        <v>0</v>
      </c>
      <c r="G158">
        <v>-37</v>
      </c>
      <c r="H158">
        <v>18</v>
      </c>
      <c r="I158">
        <v>-1</v>
      </c>
      <c r="J158">
        <v>-2</v>
      </c>
      <c r="K158">
        <v>38</v>
      </c>
      <c r="L158">
        <v>4894</v>
      </c>
      <c r="T158">
        <v>20081219</v>
      </c>
      <c r="U158">
        <v>4662</v>
      </c>
      <c r="V158">
        <v>4724</v>
      </c>
      <c r="W158">
        <v>4582</v>
      </c>
      <c r="X158">
        <v>4680</v>
      </c>
      <c r="Y158">
        <v>108922</v>
      </c>
      <c r="Z158">
        <v>-37</v>
      </c>
      <c r="AA158">
        <v>18</v>
      </c>
      <c r="AB158">
        <v>0</v>
      </c>
      <c r="AC158">
        <v>0.5</v>
      </c>
      <c r="AD158">
        <v>0</v>
      </c>
      <c r="AE158">
        <v>4622.375</v>
      </c>
      <c r="AF158">
        <v>4425</v>
      </c>
      <c r="AG158">
        <v>0</v>
      </c>
      <c r="AH158">
        <v>0</v>
      </c>
      <c r="AI158">
        <v>-2</v>
      </c>
      <c r="AJ158">
        <v>38</v>
      </c>
      <c r="AK158">
        <v>3623</v>
      </c>
    </row>
    <row r="159" spans="1:37" x14ac:dyDescent="0.25">
      <c r="A159">
        <v>0</v>
      </c>
      <c r="B159">
        <v>0.4</v>
      </c>
      <c r="C159">
        <v>-1</v>
      </c>
      <c r="D159">
        <v>4602.125</v>
      </c>
      <c r="E159">
        <v>4449.2</v>
      </c>
      <c r="F159">
        <v>0</v>
      </c>
      <c r="G159">
        <v>40</v>
      </c>
      <c r="H159">
        <v>-191</v>
      </c>
      <c r="I159">
        <v>-1</v>
      </c>
      <c r="J159">
        <v>-2</v>
      </c>
      <c r="K159">
        <v>302</v>
      </c>
      <c r="L159">
        <v>5196</v>
      </c>
      <c r="T159">
        <v>20081222</v>
      </c>
      <c r="U159">
        <v>4720</v>
      </c>
      <c r="V159">
        <v>4755</v>
      </c>
      <c r="W159">
        <v>4498</v>
      </c>
      <c r="X159">
        <v>4529</v>
      </c>
      <c r="Y159">
        <v>100130</v>
      </c>
      <c r="Z159">
        <v>40</v>
      </c>
      <c r="AA159">
        <v>-191</v>
      </c>
      <c r="AB159">
        <v>0</v>
      </c>
      <c r="AC159">
        <v>0.4</v>
      </c>
      <c r="AD159">
        <v>0</v>
      </c>
      <c r="AE159">
        <v>4602.125</v>
      </c>
      <c r="AF159">
        <v>4449.2</v>
      </c>
      <c r="AG159">
        <v>0</v>
      </c>
      <c r="AH159">
        <v>0</v>
      </c>
      <c r="AI159">
        <v>-2</v>
      </c>
      <c r="AJ159">
        <v>302</v>
      </c>
      <c r="AK159">
        <v>3925</v>
      </c>
    </row>
    <row r="160" spans="1:37" x14ac:dyDescent="0.25">
      <c r="A160">
        <v>0</v>
      </c>
      <c r="B160">
        <v>0.4</v>
      </c>
      <c r="C160">
        <v>-1</v>
      </c>
      <c r="D160">
        <v>4562.5</v>
      </c>
      <c r="E160">
        <v>4456.7</v>
      </c>
      <c r="F160">
        <v>0</v>
      </c>
      <c r="G160">
        <v>-22</v>
      </c>
      <c r="H160">
        <v>-158</v>
      </c>
      <c r="I160">
        <v>-1</v>
      </c>
      <c r="J160">
        <v>-2</v>
      </c>
      <c r="K160">
        <v>360</v>
      </c>
      <c r="L160">
        <v>5556</v>
      </c>
      <c r="T160">
        <v>20081223</v>
      </c>
      <c r="U160">
        <v>4507</v>
      </c>
      <c r="V160">
        <v>4524</v>
      </c>
      <c r="W160">
        <v>4290</v>
      </c>
      <c r="X160">
        <v>4349</v>
      </c>
      <c r="Y160">
        <v>104865</v>
      </c>
      <c r="Z160">
        <v>-22</v>
      </c>
      <c r="AA160">
        <v>-158</v>
      </c>
      <c r="AB160">
        <v>0</v>
      </c>
      <c r="AC160">
        <v>0.4</v>
      </c>
      <c r="AD160">
        <v>0</v>
      </c>
      <c r="AE160">
        <v>4562.5</v>
      </c>
      <c r="AF160">
        <v>4456.7</v>
      </c>
      <c r="AG160">
        <v>0</v>
      </c>
      <c r="AH160">
        <v>0</v>
      </c>
      <c r="AI160">
        <v>-2</v>
      </c>
      <c r="AJ160">
        <v>360</v>
      </c>
      <c r="AK160">
        <v>4285</v>
      </c>
    </row>
    <row r="161" spans="1:37" x14ac:dyDescent="0.25">
      <c r="A161">
        <v>1</v>
      </c>
      <c r="B161">
        <v>0.4</v>
      </c>
      <c r="C161">
        <v>-1</v>
      </c>
      <c r="D161">
        <v>4556.75</v>
      </c>
      <c r="E161">
        <v>4465.2</v>
      </c>
      <c r="F161">
        <v>0</v>
      </c>
      <c r="G161">
        <v>-39</v>
      </c>
      <c r="H161">
        <v>69</v>
      </c>
      <c r="I161">
        <v>-1</v>
      </c>
      <c r="J161">
        <v>-2</v>
      </c>
      <c r="K161">
        <v>-60</v>
      </c>
      <c r="L161">
        <v>5496</v>
      </c>
      <c r="T161">
        <v>20081224</v>
      </c>
      <c r="U161">
        <v>4310</v>
      </c>
      <c r="V161">
        <v>4399</v>
      </c>
      <c r="W161">
        <v>4241</v>
      </c>
      <c r="X161">
        <v>4379</v>
      </c>
      <c r="Y161">
        <v>103165</v>
      </c>
      <c r="Z161">
        <v>-39</v>
      </c>
      <c r="AA161">
        <v>69</v>
      </c>
      <c r="AB161">
        <v>1</v>
      </c>
      <c r="AC161">
        <v>0.4</v>
      </c>
      <c r="AD161">
        <v>0</v>
      </c>
      <c r="AE161">
        <v>4556.75</v>
      </c>
      <c r="AF161">
        <v>4465.2</v>
      </c>
      <c r="AG161">
        <v>0</v>
      </c>
      <c r="AH161">
        <v>0</v>
      </c>
      <c r="AI161">
        <v>-2</v>
      </c>
      <c r="AJ161">
        <v>-60</v>
      </c>
      <c r="AK161">
        <v>4225</v>
      </c>
    </row>
    <row r="162" spans="1:37" x14ac:dyDescent="0.25">
      <c r="A162">
        <v>1</v>
      </c>
      <c r="B162">
        <v>0.5</v>
      </c>
      <c r="C162">
        <v>-1</v>
      </c>
      <c r="D162">
        <v>4531.125</v>
      </c>
      <c r="E162">
        <v>4463.95</v>
      </c>
      <c r="F162">
        <v>0</v>
      </c>
      <c r="G162">
        <v>1</v>
      </c>
      <c r="H162">
        <v>25</v>
      </c>
      <c r="I162">
        <v>-1</v>
      </c>
      <c r="J162">
        <v>-2</v>
      </c>
      <c r="K162">
        <v>-52</v>
      </c>
      <c r="L162">
        <v>5444</v>
      </c>
      <c r="T162">
        <v>20081225</v>
      </c>
      <c r="U162">
        <v>4380</v>
      </c>
      <c r="V162">
        <v>4405</v>
      </c>
      <c r="W162">
        <v>4330</v>
      </c>
      <c r="X162">
        <v>4405</v>
      </c>
      <c r="Y162">
        <v>43402</v>
      </c>
      <c r="Z162">
        <v>1</v>
      </c>
      <c r="AA162">
        <v>25</v>
      </c>
      <c r="AB162">
        <v>1</v>
      </c>
      <c r="AC162">
        <v>0.5</v>
      </c>
      <c r="AD162">
        <v>0</v>
      </c>
      <c r="AE162">
        <v>4531.125</v>
      </c>
      <c r="AF162">
        <v>4463.95</v>
      </c>
      <c r="AG162">
        <v>0</v>
      </c>
      <c r="AH162">
        <v>0</v>
      </c>
      <c r="AI162">
        <v>-2</v>
      </c>
      <c r="AJ162">
        <v>-52</v>
      </c>
      <c r="AK162">
        <v>4173</v>
      </c>
    </row>
    <row r="163" spans="1:37" x14ac:dyDescent="0.25">
      <c r="A163">
        <v>0</v>
      </c>
      <c r="B163">
        <v>0.5</v>
      </c>
      <c r="C163">
        <v>-1</v>
      </c>
      <c r="D163">
        <v>4505.25</v>
      </c>
      <c r="E163">
        <v>4459.8500000000004</v>
      </c>
      <c r="F163">
        <v>0</v>
      </c>
      <c r="G163">
        <v>-33</v>
      </c>
      <c r="H163">
        <v>6</v>
      </c>
      <c r="I163">
        <v>-1</v>
      </c>
      <c r="J163">
        <v>-2</v>
      </c>
      <c r="K163">
        <v>54</v>
      </c>
      <c r="L163">
        <v>5498</v>
      </c>
      <c r="T163">
        <v>20081226</v>
      </c>
      <c r="U163">
        <v>4372</v>
      </c>
      <c r="V163">
        <v>4445</v>
      </c>
      <c r="W163">
        <v>4339</v>
      </c>
      <c r="X163">
        <v>4378</v>
      </c>
      <c r="Y163">
        <v>68148</v>
      </c>
      <c r="Z163">
        <v>-33</v>
      </c>
      <c r="AA163">
        <v>6</v>
      </c>
      <c r="AB163">
        <v>0</v>
      </c>
      <c r="AC163">
        <v>0.5</v>
      </c>
      <c r="AD163">
        <v>0</v>
      </c>
      <c r="AE163">
        <v>4505.25</v>
      </c>
      <c r="AF163">
        <v>4459.8500000000004</v>
      </c>
      <c r="AG163">
        <v>0</v>
      </c>
      <c r="AH163">
        <v>0</v>
      </c>
      <c r="AI163">
        <v>-2</v>
      </c>
      <c r="AJ163">
        <v>54</v>
      </c>
      <c r="AK163">
        <v>4227</v>
      </c>
    </row>
    <row r="164" spans="1:37" x14ac:dyDescent="0.25">
      <c r="A164">
        <v>1</v>
      </c>
      <c r="B164">
        <v>0.5</v>
      </c>
      <c r="C164">
        <v>-1</v>
      </c>
      <c r="D164">
        <v>4475.625</v>
      </c>
      <c r="E164">
        <v>4454.1000000000004</v>
      </c>
      <c r="F164">
        <v>0</v>
      </c>
      <c r="G164">
        <v>-12</v>
      </c>
      <c r="H164">
        <v>20</v>
      </c>
      <c r="I164">
        <v>-1</v>
      </c>
      <c r="J164">
        <v>-2</v>
      </c>
      <c r="K164">
        <v>-16</v>
      </c>
      <c r="L164">
        <v>5482</v>
      </c>
      <c r="T164">
        <v>20081229</v>
      </c>
      <c r="U164">
        <v>4366</v>
      </c>
      <c r="V164">
        <v>4399</v>
      </c>
      <c r="W164">
        <v>4316</v>
      </c>
      <c r="X164">
        <v>4386</v>
      </c>
      <c r="Y164">
        <v>47046</v>
      </c>
      <c r="Z164">
        <v>-12</v>
      </c>
      <c r="AA164">
        <v>20</v>
      </c>
      <c r="AB164">
        <v>1</v>
      </c>
      <c r="AC164">
        <v>0.5</v>
      </c>
      <c r="AD164">
        <v>0</v>
      </c>
      <c r="AE164">
        <v>4475.625</v>
      </c>
      <c r="AF164">
        <v>4454.1000000000004</v>
      </c>
      <c r="AG164">
        <v>0</v>
      </c>
      <c r="AH164">
        <v>0</v>
      </c>
      <c r="AI164">
        <v>-2</v>
      </c>
      <c r="AJ164">
        <v>-16</v>
      </c>
      <c r="AK164">
        <v>4211</v>
      </c>
    </row>
    <row r="165" spans="1:37" x14ac:dyDescent="0.25">
      <c r="A165">
        <v>1</v>
      </c>
      <c r="B165">
        <v>0.6</v>
      </c>
      <c r="C165">
        <v>-1</v>
      </c>
      <c r="D165">
        <v>4458.875</v>
      </c>
      <c r="E165">
        <v>4470.3500000000004</v>
      </c>
      <c r="F165">
        <v>-1</v>
      </c>
      <c r="G165">
        <v>43</v>
      </c>
      <c r="H165">
        <v>136</v>
      </c>
      <c r="I165">
        <v>-1</v>
      </c>
      <c r="J165">
        <v>-2</v>
      </c>
      <c r="K165">
        <v>-358</v>
      </c>
      <c r="L165">
        <v>5124</v>
      </c>
      <c r="T165">
        <v>20081230</v>
      </c>
      <c r="U165">
        <v>4429</v>
      </c>
      <c r="V165">
        <v>4605</v>
      </c>
      <c r="W165">
        <v>4422</v>
      </c>
      <c r="X165">
        <v>4565</v>
      </c>
      <c r="Y165">
        <v>71659</v>
      </c>
      <c r="Z165">
        <v>43</v>
      </c>
      <c r="AA165">
        <v>136</v>
      </c>
      <c r="AB165">
        <v>1</v>
      </c>
      <c r="AC165">
        <v>0.6</v>
      </c>
      <c r="AD165">
        <v>-1</v>
      </c>
      <c r="AE165">
        <v>4458.875</v>
      </c>
      <c r="AF165">
        <v>4470.3500000000004</v>
      </c>
      <c r="AG165">
        <v>-1</v>
      </c>
      <c r="AH165">
        <v>-1</v>
      </c>
      <c r="AI165">
        <v>-2</v>
      </c>
      <c r="AJ165">
        <v>-358</v>
      </c>
      <c r="AK165">
        <v>3853</v>
      </c>
    </row>
    <row r="166" spans="1:37" x14ac:dyDescent="0.25">
      <c r="A166">
        <v>0</v>
      </c>
      <c r="B166">
        <v>0.5</v>
      </c>
      <c r="C166">
        <v>-1</v>
      </c>
      <c r="D166">
        <v>4441.375</v>
      </c>
      <c r="E166">
        <v>4487.95</v>
      </c>
      <c r="F166">
        <v>0</v>
      </c>
      <c r="G166">
        <v>40</v>
      </c>
      <c r="H166">
        <v>-65</v>
      </c>
      <c r="I166">
        <v>-1</v>
      </c>
      <c r="J166">
        <v>-2</v>
      </c>
      <c r="K166">
        <v>50</v>
      </c>
      <c r="L166">
        <v>5174</v>
      </c>
      <c r="T166">
        <v>20081231</v>
      </c>
      <c r="U166">
        <v>4605</v>
      </c>
      <c r="V166">
        <v>4614</v>
      </c>
      <c r="W166">
        <v>4485</v>
      </c>
      <c r="X166">
        <v>4540</v>
      </c>
      <c r="Y166">
        <v>68206</v>
      </c>
      <c r="Z166">
        <v>40</v>
      </c>
      <c r="AA166">
        <v>-65</v>
      </c>
      <c r="AB166">
        <v>0</v>
      </c>
      <c r="AC166">
        <v>0.5</v>
      </c>
      <c r="AD166">
        <v>0</v>
      </c>
      <c r="AE166">
        <v>4441.375</v>
      </c>
      <c r="AF166">
        <v>4487.95</v>
      </c>
      <c r="AG166">
        <v>0</v>
      </c>
      <c r="AH166">
        <v>0</v>
      </c>
      <c r="AI166">
        <v>-2</v>
      </c>
      <c r="AJ166">
        <v>50</v>
      </c>
      <c r="AK166">
        <v>3903</v>
      </c>
    </row>
    <row r="167" spans="1:37" x14ac:dyDescent="0.25">
      <c r="A167">
        <v>1</v>
      </c>
      <c r="B167">
        <v>0.5</v>
      </c>
      <c r="C167">
        <v>-1</v>
      </c>
      <c r="D167">
        <v>4459</v>
      </c>
      <c r="E167">
        <v>4514.5</v>
      </c>
      <c r="F167">
        <v>0</v>
      </c>
      <c r="G167">
        <v>182</v>
      </c>
      <c r="H167">
        <v>-52</v>
      </c>
      <c r="I167">
        <v>-1</v>
      </c>
      <c r="J167">
        <v>-2</v>
      </c>
      <c r="K167">
        <v>-260</v>
      </c>
      <c r="L167">
        <v>4914</v>
      </c>
      <c r="T167">
        <v>20090105</v>
      </c>
      <c r="U167">
        <v>4722</v>
      </c>
      <c r="V167">
        <v>4797</v>
      </c>
      <c r="W167">
        <v>4634</v>
      </c>
      <c r="X167">
        <v>4670</v>
      </c>
      <c r="Y167">
        <v>97869</v>
      </c>
      <c r="Z167">
        <v>182</v>
      </c>
      <c r="AA167">
        <v>-52</v>
      </c>
      <c r="AB167">
        <v>1</v>
      </c>
      <c r="AC167">
        <v>0.5</v>
      </c>
      <c r="AD167">
        <v>0</v>
      </c>
      <c r="AE167">
        <v>4459</v>
      </c>
      <c r="AF167">
        <v>4514.5</v>
      </c>
      <c r="AG167">
        <v>0</v>
      </c>
      <c r="AH167">
        <v>0</v>
      </c>
      <c r="AI167">
        <v>-2</v>
      </c>
      <c r="AJ167">
        <v>-260</v>
      </c>
      <c r="AK167">
        <v>3643</v>
      </c>
    </row>
    <row r="168" spans="1:37" x14ac:dyDescent="0.25">
      <c r="A168">
        <v>1</v>
      </c>
      <c r="B168">
        <v>0.6</v>
      </c>
      <c r="C168">
        <v>-1</v>
      </c>
      <c r="D168">
        <v>4503.625</v>
      </c>
      <c r="E168">
        <v>4540.8500000000004</v>
      </c>
      <c r="F168">
        <v>0</v>
      </c>
      <c r="G168">
        <v>29</v>
      </c>
      <c r="H168">
        <v>7</v>
      </c>
      <c r="I168">
        <v>-1</v>
      </c>
      <c r="J168">
        <v>-2</v>
      </c>
      <c r="K168">
        <v>-72</v>
      </c>
      <c r="L168">
        <v>4842</v>
      </c>
      <c r="T168">
        <v>20090106</v>
      </c>
      <c r="U168">
        <v>4699</v>
      </c>
      <c r="V168">
        <v>4735</v>
      </c>
      <c r="W168">
        <v>4638</v>
      </c>
      <c r="X168">
        <v>4706</v>
      </c>
      <c r="Y168">
        <v>90227</v>
      </c>
      <c r="Z168">
        <v>29</v>
      </c>
      <c r="AA168">
        <v>7</v>
      </c>
      <c r="AB168">
        <v>1</v>
      </c>
      <c r="AC168">
        <v>0.6</v>
      </c>
      <c r="AD168">
        <v>-1</v>
      </c>
      <c r="AE168">
        <v>4503.625</v>
      </c>
      <c r="AF168">
        <v>4540.8500000000004</v>
      </c>
      <c r="AG168">
        <v>0</v>
      </c>
      <c r="AH168">
        <v>-1</v>
      </c>
      <c r="AI168">
        <v>-2</v>
      </c>
      <c r="AJ168">
        <v>-72</v>
      </c>
      <c r="AK168">
        <v>3571</v>
      </c>
    </row>
    <row r="169" spans="1:37" x14ac:dyDescent="0.25">
      <c r="A169">
        <v>1</v>
      </c>
      <c r="B169">
        <v>0.7</v>
      </c>
      <c r="C169">
        <v>-1</v>
      </c>
      <c r="D169">
        <v>4550.25</v>
      </c>
      <c r="E169">
        <v>4554.8999999999996</v>
      </c>
      <c r="F169">
        <v>0</v>
      </c>
      <c r="G169">
        <v>52</v>
      </c>
      <c r="H169">
        <v>-6</v>
      </c>
      <c r="I169">
        <v>-1</v>
      </c>
      <c r="J169">
        <v>-2</v>
      </c>
      <c r="K169">
        <v>-92</v>
      </c>
      <c r="L169">
        <v>4750</v>
      </c>
      <c r="T169">
        <v>20090107</v>
      </c>
      <c r="U169">
        <v>4758</v>
      </c>
      <c r="V169">
        <v>4802</v>
      </c>
      <c r="W169">
        <v>4711</v>
      </c>
      <c r="X169">
        <v>4752</v>
      </c>
      <c r="Y169">
        <v>90777</v>
      </c>
      <c r="Z169">
        <v>52</v>
      </c>
      <c r="AA169">
        <v>-6</v>
      </c>
      <c r="AB169">
        <v>1</v>
      </c>
      <c r="AC169">
        <v>0.7</v>
      </c>
      <c r="AD169">
        <v>-1</v>
      </c>
      <c r="AE169">
        <v>4550.25</v>
      </c>
      <c r="AF169">
        <v>4554.8999999999996</v>
      </c>
      <c r="AG169">
        <v>0</v>
      </c>
      <c r="AH169">
        <v>-1</v>
      </c>
      <c r="AI169">
        <v>-2</v>
      </c>
      <c r="AJ169">
        <v>-92</v>
      </c>
      <c r="AK169">
        <v>3479</v>
      </c>
    </row>
    <row r="170" spans="1:37" x14ac:dyDescent="0.25">
      <c r="A170">
        <v>0</v>
      </c>
      <c r="B170">
        <v>0.7</v>
      </c>
      <c r="C170">
        <v>-1</v>
      </c>
      <c r="D170">
        <v>4556.125</v>
      </c>
      <c r="E170">
        <v>4554.5</v>
      </c>
      <c r="F170">
        <v>1</v>
      </c>
      <c r="G170">
        <v>-102</v>
      </c>
      <c r="H170">
        <v>-198</v>
      </c>
      <c r="I170">
        <v>1</v>
      </c>
      <c r="J170">
        <v>-2</v>
      </c>
      <c r="K170">
        <v>600</v>
      </c>
      <c r="L170">
        <v>5350</v>
      </c>
      <c r="T170">
        <v>20090108</v>
      </c>
      <c r="U170">
        <v>4650</v>
      </c>
      <c r="V170">
        <v>4650</v>
      </c>
      <c r="W170">
        <v>4434</v>
      </c>
      <c r="X170">
        <v>4452</v>
      </c>
      <c r="Y170">
        <v>95219</v>
      </c>
      <c r="Z170">
        <v>-102</v>
      </c>
      <c r="AA170">
        <v>-198</v>
      </c>
      <c r="AB170">
        <v>0</v>
      </c>
      <c r="AC170">
        <v>0.7</v>
      </c>
      <c r="AD170">
        <v>-1</v>
      </c>
      <c r="AE170">
        <v>4556.125</v>
      </c>
      <c r="AF170">
        <v>4554.5</v>
      </c>
      <c r="AG170">
        <v>1</v>
      </c>
      <c r="AH170">
        <v>1</v>
      </c>
      <c r="AI170">
        <v>-2</v>
      </c>
      <c r="AJ170">
        <v>600</v>
      </c>
      <c r="AK170">
        <v>4079</v>
      </c>
    </row>
    <row r="171" spans="1:37" x14ac:dyDescent="0.25">
      <c r="A171">
        <v>0</v>
      </c>
      <c r="B171">
        <v>0.6</v>
      </c>
      <c r="C171">
        <v>-1</v>
      </c>
      <c r="D171">
        <v>4561.5</v>
      </c>
      <c r="E171">
        <v>4541</v>
      </c>
      <c r="F171">
        <v>0</v>
      </c>
      <c r="G171">
        <v>-5</v>
      </c>
      <c r="H171">
        <v>-26</v>
      </c>
      <c r="I171">
        <v>-1</v>
      </c>
      <c r="J171">
        <v>-1</v>
      </c>
      <c r="K171">
        <v>36</v>
      </c>
      <c r="L171">
        <v>5386</v>
      </c>
      <c r="T171">
        <v>20090109</v>
      </c>
      <c r="U171">
        <v>4447</v>
      </c>
      <c r="V171">
        <v>4495</v>
      </c>
      <c r="W171">
        <v>4405</v>
      </c>
      <c r="X171">
        <v>4421</v>
      </c>
      <c r="Y171">
        <v>90292</v>
      </c>
      <c r="Z171">
        <v>-5</v>
      </c>
      <c r="AA171">
        <v>-26</v>
      </c>
      <c r="AB171">
        <v>0</v>
      </c>
      <c r="AC171">
        <v>0.6</v>
      </c>
      <c r="AD171">
        <v>-1</v>
      </c>
      <c r="AE171">
        <v>4561.5</v>
      </c>
      <c r="AF171">
        <v>4541</v>
      </c>
      <c r="AG171">
        <v>0</v>
      </c>
      <c r="AH171">
        <v>-1</v>
      </c>
      <c r="AI171">
        <v>-1</v>
      </c>
      <c r="AJ171">
        <v>36</v>
      </c>
      <c r="AK171">
        <v>4115</v>
      </c>
    </row>
    <row r="172" spans="1:37" x14ac:dyDescent="0.25">
      <c r="A172">
        <v>0</v>
      </c>
      <c r="B172">
        <v>0.5</v>
      </c>
      <c r="C172">
        <v>-1</v>
      </c>
      <c r="D172">
        <v>4560</v>
      </c>
      <c r="E172">
        <v>4526.3999999999996</v>
      </c>
      <c r="F172">
        <v>0</v>
      </c>
      <c r="G172">
        <v>-59</v>
      </c>
      <c r="H172">
        <v>12</v>
      </c>
      <c r="I172">
        <v>-1</v>
      </c>
      <c r="J172">
        <v>-2</v>
      </c>
      <c r="K172">
        <v>35</v>
      </c>
      <c r="L172">
        <v>5421</v>
      </c>
      <c r="T172">
        <v>20090110</v>
      </c>
      <c r="U172">
        <v>4362</v>
      </c>
      <c r="V172">
        <v>4425</v>
      </c>
      <c r="W172">
        <v>4344</v>
      </c>
      <c r="X172">
        <v>4374</v>
      </c>
      <c r="Y172">
        <v>56091</v>
      </c>
      <c r="Z172">
        <v>-59</v>
      </c>
      <c r="AA172">
        <v>12</v>
      </c>
      <c r="AB172">
        <v>0</v>
      </c>
      <c r="AC172">
        <v>0.5</v>
      </c>
      <c r="AD172">
        <v>0</v>
      </c>
      <c r="AE172">
        <v>4560</v>
      </c>
      <c r="AF172">
        <v>4526.3999999999996</v>
      </c>
      <c r="AG172">
        <v>0</v>
      </c>
      <c r="AH172">
        <v>0</v>
      </c>
      <c r="AI172">
        <v>-2</v>
      </c>
      <c r="AJ172">
        <v>35</v>
      </c>
      <c r="AK172">
        <v>4150</v>
      </c>
    </row>
    <row r="173" spans="1:37" x14ac:dyDescent="0.25">
      <c r="A173">
        <v>1</v>
      </c>
      <c r="B173">
        <v>0.6</v>
      </c>
      <c r="C173">
        <v>-1</v>
      </c>
      <c r="D173">
        <v>4543</v>
      </c>
      <c r="E173">
        <v>4526.6000000000004</v>
      </c>
      <c r="F173">
        <v>0</v>
      </c>
      <c r="G173">
        <v>12</v>
      </c>
      <c r="H173">
        <v>43</v>
      </c>
      <c r="I173">
        <v>-1</v>
      </c>
      <c r="J173">
        <v>-2</v>
      </c>
      <c r="K173">
        <v>-110</v>
      </c>
      <c r="L173">
        <v>5311</v>
      </c>
      <c r="T173">
        <v>20090112</v>
      </c>
      <c r="U173">
        <v>4386</v>
      </c>
      <c r="V173">
        <v>4472</v>
      </c>
      <c r="W173">
        <v>4350</v>
      </c>
      <c r="X173">
        <v>4429</v>
      </c>
      <c r="Y173">
        <v>93169</v>
      </c>
      <c r="Z173">
        <v>12</v>
      </c>
      <c r="AA173">
        <v>43</v>
      </c>
      <c r="AB173">
        <v>1</v>
      </c>
      <c r="AC173">
        <v>0.6</v>
      </c>
      <c r="AD173">
        <v>-1</v>
      </c>
      <c r="AE173">
        <v>4543</v>
      </c>
      <c r="AF173">
        <v>4526.6000000000004</v>
      </c>
      <c r="AG173">
        <v>0</v>
      </c>
      <c r="AH173">
        <v>-1</v>
      </c>
      <c r="AI173">
        <v>-2</v>
      </c>
      <c r="AJ173">
        <v>-110</v>
      </c>
      <c r="AK173">
        <v>4040</v>
      </c>
    </row>
    <row r="174" spans="1:37" x14ac:dyDescent="0.25">
      <c r="A174">
        <v>1</v>
      </c>
      <c r="B174">
        <v>0.6</v>
      </c>
      <c r="C174">
        <v>-1</v>
      </c>
      <c r="D174">
        <v>4540.25</v>
      </c>
      <c r="E174">
        <v>4522</v>
      </c>
      <c r="F174">
        <v>0</v>
      </c>
      <c r="G174">
        <v>-68</v>
      </c>
      <c r="H174">
        <v>157</v>
      </c>
      <c r="I174">
        <v>-1</v>
      </c>
      <c r="J174">
        <v>-2</v>
      </c>
      <c r="K174">
        <v>-178</v>
      </c>
      <c r="L174">
        <v>5133</v>
      </c>
      <c r="T174">
        <v>20090113</v>
      </c>
      <c r="U174">
        <v>4361</v>
      </c>
      <c r="V174">
        <v>4524</v>
      </c>
      <c r="W174">
        <v>4360</v>
      </c>
      <c r="X174">
        <v>4518</v>
      </c>
      <c r="Y174">
        <v>93060</v>
      </c>
      <c r="Z174">
        <v>-68</v>
      </c>
      <c r="AA174">
        <v>157</v>
      </c>
      <c r="AB174">
        <v>1</v>
      </c>
      <c r="AC174">
        <v>0.6</v>
      </c>
      <c r="AD174">
        <v>-1</v>
      </c>
      <c r="AE174">
        <v>4540.25</v>
      </c>
      <c r="AF174">
        <v>4522</v>
      </c>
      <c r="AG174">
        <v>0</v>
      </c>
      <c r="AH174">
        <v>-1</v>
      </c>
      <c r="AI174">
        <v>-2</v>
      </c>
      <c r="AJ174">
        <v>-178</v>
      </c>
      <c r="AK174">
        <v>3862</v>
      </c>
    </row>
    <row r="175" spans="1:37" x14ac:dyDescent="0.25">
      <c r="A175">
        <v>0</v>
      </c>
      <c r="B175">
        <v>0.5</v>
      </c>
      <c r="C175">
        <v>-1</v>
      </c>
      <c r="D175">
        <v>4520.25</v>
      </c>
      <c r="E175">
        <v>4518.25</v>
      </c>
      <c r="F175">
        <v>0</v>
      </c>
      <c r="G175">
        <v>-28</v>
      </c>
      <c r="H175">
        <v>20</v>
      </c>
      <c r="I175">
        <v>-1</v>
      </c>
      <c r="J175">
        <v>-2</v>
      </c>
      <c r="K175">
        <v>16</v>
      </c>
      <c r="L175">
        <v>5149</v>
      </c>
      <c r="T175">
        <v>20090114</v>
      </c>
      <c r="U175">
        <v>4490</v>
      </c>
      <c r="V175">
        <v>4552</v>
      </c>
      <c r="W175">
        <v>4478</v>
      </c>
      <c r="X175">
        <v>4510</v>
      </c>
      <c r="Y175">
        <v>81258</v>
      </c>
      <c r="Z175">
        <v>-28</v>
      </c>
      <c r="AA175">
        <v>20</v>
      </c>
      <c r="AB175">
        <v>0</v>
      </c>
      <c r="AC175">
        <v>0.5</v>
      </c>
      <c r="AD175">
        <v>0</v>
      </c>
      <c r="AE175">
        <v>4520.25</v>
      </c>
      <c r="AF175">
        <v>4518.25</v>
      </c>
      <c r="AG175">
        <v>0</v>
      </c>
      <c r="AH175">
        <v>0</v>
      </c>
      <c r="AI175">
        <v>-2</v>
      </c>
      <c r="AJ175">
        <v>16</v>
      </c>
      <c r="AK175">
        <v>3878</v>
      </c>
    </row>
    <row r="176" spans="1:37" x14ac:dyDescent="0.25">
      <c r="A176">
        <v>0</v>
      </c>
      <c r="B176">
        <v>0.5</v>
      </c>
      <c r="C176">
        <v>-1</v>
      </c>
      <c r="D176">
        <v>4461.875</v>
      </c>
      <c r="E176">
        <v>4499.05</v>
      </c>
      <c r="F176">
        <v>-1</v>
      </c>
      <c r="G176">
        <v>-288</v>
      </c>
      <c r="H176">
        <v>17</v>
      </c>
      <c r="I176">
        <v>-1</v>
      </c>
      <c r="J176">
        <v>-2</v>
      </c>
      <c r="K176">
        <v>542</v>
      </c>
      <c r="L176">
        <v>5691</v>
      </c>
      <c r="T176">
        <v>20090115</v>
      </c>
      <c r="U176">
        <v>4222</v>
      </c>
      <c r="V176">
        <v>4300</v>
      </c>
      <c r="W176">
        <v>4222</v>
      </c>
      <c r="X176">
        <v>4239</v>
      </c>
      <c r="Y176">
        <v>74394</v>
      </c>
      <c r="Z176">
        <v>-288</v>
      </c>
      <c r="AA176">
        <v>17</v>
      </c>
      <c r="AB176">
        <v>0</v>
      </c>
      <c r="AC176">
        <v>0.5</v>
      </c>
      <c r="AD176">
        <v>0</v>
      </c>
      <c r="AE176">
        <v>4461.875</v>
      </c>
      <c r="AF176">
        <v>4499.05</v>
      </c>
      <c r="AG176">
        <v>-1</v>
      </c>
      <c r="AH176">
        <v>-1</v>
      </c>
      <c r="AI176">
        <v>-2</v>
      </c>
      <c r="AJ176">
        <v>542</v>
      </c>
      <c r="AK176">
        <v>4420</v>
      </c>
    </row>
    <row r="177" spans="1:37" x14ac:dyDescent="0.25">
      <c r="A177">
        <v>1</v>
      </c>
      <c r="B177">
        <v>0.5</v>
      </c>
      <c r="C177">
        <v>-1</v>
      </c>
      <c r="D177">
        <v>4408.25</v>
      </c>
      <c r="E177">
        <v>4480.25</v>
      </c>
      <c r="F177">
        <v>0</v>
      </c>
      <c r="G177">
        <v>38</v>
      </c>
      <c r="H177">
        <v>46</v>
      </c>
      <c r="I177">
        <v>-1</v>
      </c>
      <c r="J177">
        <v>-2</v>
      </c>
      <c r="K177">
        <v>-168</v>
      </c>
      <c r="L177">
        <v>5523</v>
      </c>
      <c r="T177">
        <v>20090116</v>
      </c>
      <c r="U177">
        <v>4277</v>
      </c>
      <c r="V177">
        <v>4329</v>
      </c>
      <c r="W177">
        <v>4250</v>
      </c>
      <c r="X177">
        <v>4323</v>
      </c>
      <c r="Y177">
        <v>76692</v>
      </c>
      <c r="Z177">
        <v>38</v>
      </c>
      <c r="AA177">
        <v>46</v>
      </c>
      <c r="AB177">
        <v>1</v>
      </c>
      <c r="AC177">
        <v>0.5</v>
      </c>
      <c r="AD177">
        <v>0</v>
      </c>
      <c r="AE177">
        <v>4408.25</v>
      </c>
      <c r="AF177">
        <v>4480.25</v>
      </c>
      <c r="AG177">
        <v>0</v>
      </c>
      <c r="AH177">
        <v>0</v>
      </c>
      <c r="AI177">
        <v>-2</v>
      </c>
      <c r="AJ177">
        <v>-168</v>
      </c>
      <c r="AK177">
        <v>4252</v>
      </c>
    </row>
    <row r="178" spans="1:37" x14ac:dyDescent="0.25">
      <c r="A178">
        <v>1</v>
      </c>
      <c r="B178">
        <v>0.5</v>
      </c>
      <c r="C178">
        <v>-1</v>
      </c>
      <c r="D178">
        <v>4395.375</v>
      </c>
      <c r="E178">
        <v>4463.7</v>
      </c>
      <c r="F178">
        <v>0</v>
      </c>
      <c r="G178">
        <v>7</v>
      </c>
      <c r="H178">
        <v>19</v>
      </c>
      <c r="I178">
        <v>-1</v>
      </c>
      <c r="J178">
        <v>-2</v>
      </c>
      <c r="K178">
        <v>-52</v>
      </c>
      <c r="L178">
        <v>5471</v>
      </c>
      <c r="T178">
        <v>20090117</v>
      </c>
      <c r="U178">
        <v>4330</v>
      </c>
      <c r="V178">
        <v>4358</v>
      </c>
      <c r="W178">
        <v>4306</v>
      </c>
      <c r="X178">
        <v>4349</v>
      </c>
      <c r="Y178">
        <v>38280</v>
      </c>
      <c r="Z178">
        <v>7</v>
      </c>
      <c r="AA178">
        <v>19</v>
      </c>
      <c r="AB178">
        <v>1</v>
      </c>
      <c r="AC178">
        <v>0.5</v>
      </c>
      <c r="AD178">
        <v>0</v>
      </c>
      <c r="AE178">
        <v>4395.375</v>
      </c>
      <c r="AF178">
        <v>4463.7</v>
      </c>
      <c r="AG178">
        <v>0</v>
      </c>
      <c r="AH178">
        <v>0</v>
      </c>
      <c r="AI178">
        <v>-2</v>
      </c>
      <c r="AJ178">
        <v>-52</v>
      </c>
      <c r="AK178">
        <v>4200</v>
      </c>
    </row>
    <row r="179" spans="1:37" x14ac:dyDescent="0.25">
      <c r="A179">
        <v>1</v>
      </c>
      <c r="B179">
        <v>0.5</v>
      </c>
      <c r="C179">
        <v>-1</v>
      </c>
      <c r="D179">
        <v>4387.375</v>
      </c>
      <c r="E179">
        <v>4455.1000000000004</v>
      </c>
      <c r="F179">
        <v>0</v>
      </c>
      <c r="G179">
        <v>29</v>
      </c>
      <c r="H179">
        <v>-21</v>
      </c>
      <c r="I179">
        <v>-1</v>
      </c>
      <c r="J179">
        <v>-2</v>
      </c>
      <c r="K179">
        <v>-16</v>
      </c>
      <c r="L179">
        <v>5455</v>
      </c>
      <c r="T179">
        <v>20090119</v>
      </c>
      <c r="U179">
        <v>4378</v>
      </c>
      <c r="V179">
        <v>4394</v>
      </c>
      <c r="W179">
        <v>4325</v>
      </c>
      <c r="X179">
        <v>4357</v>
      </c>
      <c r="Y179">
        <v>48529</v>
      </c>
      <c r="Z179">
        <v>29</v>
      </c>
      <c r="AA179">
        <v>-21</v>
      </c>
      <c r="AB179">
        <v>1</v>
      </c>
      <c r="AC179">
        <v>0.5</v>
      </c>
      <c r="AD179">
        <v>0</v>
      </c>
      <c r="AE179">
        <v>4387.375</v>
      </c>
      <c r="AF179">
        <v>4455.1000000000004</v>
      </c>
      <c r="AG179">
        <v>0</v>
      </c>
      <c r="AH179">
        <v>0</v>
      </c>
      <c r="AI179">
        <v>-2</v>
      </c>
      <c r="AJ179">
        <v>-16</v>
      </c>
      <c r="AK179">
        <v>4184</v>
      </c>
    </row>
    <row r="180" spans="1:37" x14ac:dyDescent="0.25">
      <c r="A180">
        <v>0</v>
      </c>
      <c r="B180">
        <v>0.5</v>
      </c>
      <c r="C180">
        <v>-1</v>
      </c>
      <c r="D180">
        <v>4370.625</v>
      </c>
      <c r="E180">
        <v>4449.6499999999996</v>
      </c>
      <c r="F180">
        <v>0</v>
      </c>
      <c r="G180">
        <v>-91</v>
      </c>
      <c r="H180">
        <v>-26</v>
      </c>
      <c r="I180">
        <v>-1</v>
      </c>
      <c r="J180">
        <v>-2</v>
      </c>
      <c r="K180">
        <v>234</v>
      </c>
      <c r="L180">
        <v>5689</v>
      </c>
      <c r="T180">
        <v>20090120</v>
      </c>
      <c r="U180">
        <v>4266</v>
      </c>
      <c r="V180">
        <v>4269</v>
      </c>
      <c r="W180">
        <v>4205</v>
      </c>
      <c r="X180">
        <v>4240</v>
      </c>
      <c r="Y180">
        <v>43414</v>
      </c>
      <c r="Z180">
        <v>-91</v>
      </c>
      <c r="AA180">
        <v>-26</v>
      </c>
      <c r="AB180">
        <v>0</v>
      </c>
      <c r="AC180">
        <v>0.5</v>
      </c>
      <c r="AD180">
        <v>0</v>
      </c>
      <c r="AE180">
        <v>4370.625</v>
      </c>
      <c r="AF180">
        <v>4449.6499999999996</v>
      </c>
      <c r="AG180">
        <v>0</v>
      </c>
      <c r="AH180">
        <v>0</v>
      </c>
      <c r="AI180">
        <v>-2</v>
      </c>
      <c r="AJ180">
        <v>234</v>
      </c>
      <c r="AK180">
        <v>4418</v>
      </c>
    </row>
    <row r="181" spans="1:37" x14ac:dyDescent="0.25">
      <c r="A181">
        <v>0</v>
      </c>
      <c r="B181">
        <v>0.5</v>
      </c>
      <c r="C181">
        <v>-1</v>
      </c>
      <c r="D181">
        <v>4333.5</v>
      </c>
      <c r="E181">
        <v>4437.3</v>
      </c>
      <c r="F181">
        <v>0</v>
      </c>
      <c r="G181">
        <v>-188</v>
      </c>
      <c r="H181">
        <v>80</v>
      </c>
      <c r="I181">
        <v>-1</v>
      </c>
      <c r="J181">
        <v>-2</v>
      </c>
      <c r="K181">
        <v>216</v>
      </c>
      <c r="L181">
        <v>5905</v>
      </c>
      <c r="T181">
        <v>20090121</v>
      </c>
      <c r="U181">
        <v>4052</v>
      </c>
      <c r="V181">
        <v>4170</v>
      </c>
      <c r="W181">
        <v>4033</v>
      </c>
      <c r="X181">
        <v>4132</v>
      </c>
      <c r="Y181">
        <v>42861</v>
      </c>
      <c r="Z181">
        <v>-188</v>
      </c>
      <c r="AA181">
        <v>80</v>
      </c>
      <c r="AB181">
        <v>0</v>
      </c>
      <c r="AC181">
        <v>0.5</v>
      </c>
      <c r="AD181">
        <v>0</v>
      </c>
      <c r="AE181">
        <v>4333.5</v>
      </c>
      <c r="AF181">
        <v>4437.3</v>
      </c>
      <c r="AG181">
        <v>0</v>
      </c>
      <c r="AH181">
        <v>0</v>
      </c>
      <c r="AI181">
        <v>-2</v>
      </c>
      <c r="AJ181">
        <v>216</v>
      </c>
      <c r="AK181">
        <v>4634</v>
      </c>
    </row>
    <row r="182" spans="1:37" x14ac:dyDescent="0.25">
      <c r="A182">
        <v>1</v>
      </c>
      <c r="B182">
        <v>0.6</v>
      </c>
      <c r="C182">
        <v>-1</v>
      </c>
      <c r="D182">
        <v>4288.875</v>
      </c>
      <c r="E182">
        <v>4425.1000000000004</v>
      </c>
      <c r="F182">
        <v>0</v>
      </c>
      <c r="G182">
        <v>67</v>
      </c>
      <c r="H182">
        <v>-38</v>
      </c>
      <c r="I182">
        <v>-1</v>
      </c>
      <c r="J182">
        <v>-2</v>
      </c>
      <c r="K182">
        <v>-58</v>
      </c>
      <c r="L182">
        <v>5847</v>
      </c>
      <c r="T182">
        <v>20090202</v>
      </c>
      <c r="U182">
        <v>4199</v>
      </c>
      <c r="V182">
        <v>4199</v>
      </c>
      <c r="W182">
        <v>4106</v>
      </c>
      <c r="X182">
        <v>4161</v>
      </c>
      <c r="Y182">
        <v>50688</v>
      </c>
      <c r="Z182">
        <v>67</v>
      </c>
      <c r="AA182">
        <v>-38</v>
      </c>
      <c r="AB182">
        <v>1</v>
      </c>
      <c r="AC182">
        <v>0.6</v>
      </c>
      <c r="AD182">
        <v>-1</v>
      </c>
      <c r="AE182">
        <v>4288.875</v>
      </c>
      <c r="AF182">
        <v>4425.1000000000004</v>
      </c>
      <c r="AG182">
        <v>0</v>
      </c>
      <c r="AH182">
        <v>-1</v>
      </c>
      <c r="AI182">
        <v>-2</v>
      </c>
      <c r="AJ182">
        <v>-58</v>
      </c>
      <c r="AK182">
        <v>4576</v>
      </c>
    </row>
    <row r="183" spans="1:37" x14ac:dyDescent="0.25">
      <c r="A183">
        <v>1</v>
      </c>
      <c r="B183">
        <v>0.6</v>
      </c>
      <c r="C183">
        <v>-1</v>
      </c>
      <c r="D183">
        <v>4259.5</v>
      </c>
      <c r="E183">
        <v>4419.95</v>
      </c>
      <c r="F183">
        <v>0</v>
      </c>
      <c r="G183">
        <v>7</v>
      </c>
      <c r="H183">
        <v>107</v>
      </c>
      <c r="I183">
        <v>-1</v>
      </c>
      <c r="J183">
        <v>-2</v>
      </c>
      <c r="K183">
        <v>-228</v>
      </c>
      <c r="L183">
        <v>5619</v>
      </c>
      <c r="T183">
        <v>20090203</v>
      </c>
      <c r="U183">
        <v>4168</v>
      </c>
      <c r="V183">
        <v>4328</v>
      </c>
      <c r="W183">
        <v>4161</v>
      </c>
      <c r="X183">
        <v>4275</v>
      </c>
      <c r="Y183">
        <v>77589</v>
      </c>
      <c r="Z183">
        <v>7</v>
      </c>
      <c r="AA183">
        <v>107</v>
      </c>
      <c r="AB183">
        <v>1</v>
      </c>
      <c r="AC183">
        <v>0.6</v>
      </c>
      <c r="AD183">
        <v>-1</v>
      </c>
      <c r="AE183">
        <v>4259.5</v>
      </c>
      <c r="AF183">
        <v>4419.95</v>
      </c>
      <c r="AG183">
        <v>0</v>
      </c>
      <c r="AH183">
        <v>-1</v>
      </c>
      <c r="AI183">
        <v>-2</v>
      </c>
      <c r="AJ183">
        <v>-228</v>
      </c>
      <c r="AK183">
        <v>4348</v>
      </c>
    </row>
    <row r="184" spans="1:37" x14ac:dyDescent="0.25">
      <c r="A184">
        <v>1</v>
      </c>
      <c r="B184">
        <v>0.6</v>
      </c>
      <c r="C184">
        <v>-1</v>
      </c>
      <c r="D184">
        <v>4273.5</v>
      </c>
      <c r="E184">
        <v>4418.2</v>
      </c>
      <c r="F184">
        <v>0</v>
      </c>
      <c r="G184">
        <v>52</v>
      </c>
      <c r="H184">
        <v>24</v>
      </c>
      <c r="I184">
        <v>-1</v>
      </c>
      <c r="J184">
        <v>-2</v>
      </c>
      <c r="K184">
        <v>-152</v>
      </c>
      <c r="L184">
        <v>5467</v>
      </c>
      <c r="T184">
        <v>20090204</v>
      </c>
      <c r="U184">
        <v>4327</v>
      </c>
      <c r="V184">
        <v>4375</v>
      </c>
      <c r="W184">
        <v>4285</v>
      </c>
      <c r="X184">
        <v>4351</v>
      </c>
      <c r="Y184">
        <v>68218</v>
      </c>
      <c r="Z184">
        <v>52</v>
      </c>
      <c r="AA184">
        <v>24</v>
      </c>
      <c r="AB184">
        <v>1</v>
      </c>
      <c r="AC184">
        <v>0.6</v>
      </c>
      <c r="AD184">
        <v>-1</v>
      </c>
      <c r="AE184">
        <v>4273.5</v>
      </c>
      <c r="AF184">
        <v>4418.2</v>
      </c>
      <c r="AG184">
        <v>0</v>
      </c>
      <c r="AH184">
        <v>-1</v>
      </c>
      <c r="AI184">
        <v>-2</v>
      </c>
      <c r="AJ184">
        <v>-152</v>
      </c>
      <c r="AK184">
        <v>4196</v>
      </c>
    </row>
    <row r="185" spans="1:37" x14ac:dyDescent="0.25">
      <c r="A185">
        <v>0</v>
      </c>
      <c r="B185">
        <v>0.6</v>
      </c>
      <c r="C185">
        <v>-1</v>
      </c>
      <c r="D185">
        <v>4266.875</v>
      </c>
      <c r="E185">
        <v>4403.45</v>
      </c>
      <c r="F185">
        <v>0</v>
      </c>
      <c r="G185">
        <v>-36</v>
      </c>
      <c r="H185">
        <v>-45</v>
      </c>
      <c r="I185">
        <v>-1</v>
      </c>
      <c r="J185">
        <v>-2</v>
      </c>
      <c r="K185">
        <v>162</v>
      </c>
      <c r="L185">
        <v>5629</v>
      </c>
      <c r="T185">
        <v>20090205</v>
      </c>
      <c r="U185">
        <v>4315</v>
      </c>
      <c r="V185">
        <v>4389</v>
      </c>
      <c r="W185">
        <v>4269</v>
      </c>
      <c r="X185">
        <v>4270</v>
      </c>
      <c r="Y185">
        <v>82296</v>
      </c>
      <c r="Z185">
        <v>-36</v>
      </c>
      <c r="AA185">
        <v>-45</v>
      </c>
      <c r="AB185">
        <v>0</v>
      </c>
      <c r="AC185">
        <v>0.6</v>
      </c>
      <c r="AD185">
        <v>-1</v>
      </c>
      <c r="AE185">
        <v>4266.875</v>
      </c>
      <c r="AF185">
        <v>4403.45</v>
      </c>
      <c r="AG185">
        <v>0</v>
      </c>
      <c r="AH185">
        <v>-1</v>
      </c>
      <c r="AI185">
        <v>-2</v>
      </c>
      <c r="AJ185">
        <v>162</v>
      </c>
      <c r="AK185">
        <v>4358</v>
      </c>
    </row>
    <row r="186" spans="1:37" x14ac:dyDescent="0.25">
      <c r="A186">
        <v>1</v>
      </c>
      <c r="B186">
        <v>0.7</v>
      </c>
      <c r="C186">
        <v>-1</v>
      </c>
      <c r="D186">
        <v>4278.625</v>
      </c>
      <c r="E186">
        <v>4398.6000000000004</v>
      </c>
      <c r="F186">
        <v>0</v>
      </c>
      <c r="G186">
        <v>92</v>
      </c>
      <c r="H186">
        <v>81</v>
      </c>
      <c r="I186">
        <v>-1</v>
      </c>
      <c r="J186">
        <v>-2</v>
      </c>
      <c r="K186">
        <v>-346</v>
      </c>
      <c r="L186">
        <v>5283</v>
      </c>
      <c r="T186">
        <v>20090206</v>
      </c>
      <c r="U186">
        <v>4362</v>
      </c>
      <c r="V186">
        <v>4479</v>
      </c>
      <c r="W186">
        <v>4356</v>
      </c>
      <c r="X186">
        <v>4443</v>
      </c>
      <c r="Y186">
        <v>94505</v>
      </c>
      <c r="Z186">
        <v>92</v>
      </c>
      <c r="AA186">
        <v>81</v>
      </c>
      <c r="AB186">
        <v>1</v>
      </c>
      <c r="AC186">
        <v>0.7</v>
      </c>
      <c r="AD186">
        <v>-1</v>
      </c>
      <c r="AE186">
        <v>4278.625</v>
      </c>
      <c r="AF186">
        <v>4398.6000000000004</v>
      </c>
      <c r="AG186">
        <v>0</v>
      </c>
      <c r="AH186">
        <v>-1</v>
      </c>
      <c r="AI186">
        <v>-2</v>
      </c>
      <c r="AJ186">
        <v>-346</v>
      </c>
      <c r="AK186">
        <v>4012</v>
      </c>
    </row>
    <row r="187" spans="1:37" x14ac:dyDescent="0.25">
      <c r="A187">
        <v>1</v>
      </c>
      <c r="B187">
        <v>0.7</v>
      </c>
      <c r="C187">
        <v>-1</v>
      </c>
      <c r="D187">
        <v>4291</v>
      </c>
      <c r="E187">
        <v>4387.8999999999996</v>
      </c>
      <c r="F187">
        <v>0</v>
      </c>
      <c r="G187">
        <v>57</v>
      </c>
      <c r="H187">
        <v>-44</v>
      </c>
      <c r="I187">
        <v>-1</v>
      </c>
      <c r="J187">
        <v>-2</v>
      </c>
      <c r="K187">
        <v>-26</v>
      </c>
      <c r="L187">
        <v>5257</v>
      </c>
      <c r="T187">
        <v>20090209</v>
      </c>
      <c r="U187">
        <v>4500</v>
      </c>
      <c r="V187">
        <v>4522</v>
      </c>
      <c r="W187">
        <v>4425</v>
      </c>
      <c r="X187">
        <v>4456</v>
      </c>
      <c r="Y187">
        <v>71142</v>
      </c>
      <c r="Z187">
        <v>57</v>
      </c>
      <c r="AA187">
        <v>-44</v>
      </c>
      <c r="AB187">
        <v>1</v>
      </c>
      <c r="AC187">
        <v>0.7</v>
      </c>
      <c r="AD187">
        <v>-1</v>
      </c>
      <c r="AE187">
        <v>4291</v>
      </c>
      <c r="AF187">
        <v>4387.8999999999996</v>
      </c>
      <c r="AG187">
        <v>0</v>
      </c>
      <c r="AH187">
        <v>-1</v>
      </c>
      <c r="AI187">
        <v>-2</v>
      </c>
      <c r="AJ187">
        <v>-26</v>
      </c>
      <c r="AK187">
        <v>3986</v>
      </c>
    </row>
    <row r="188" spans="1:37" x14ac:dyDescent="0.25">
      <c r="A188">
        <v>1</v>
      </c>
      <c r="B188">
        <v>0.7</v>
      </c>
      <c r="C188">
        <v>-1</v>
      </c>
      <c r="D188">
        <v>4323.125</v>
      </c>
      <c r="E188">
        <v>4377.45</v>
      </c>
      <c r="F188">
        <v>0</v>
      </c>
      <c r="G188">
        <v>0</v>
      </c>
      <c r="H188">
        <v>41</v>
      </c>
      <c r="I188">
        <v>-1</v>
      </c>
      <c r="J188">
        <v>-2</v>
      </c>
      <c r="K188">
        <v>-82</v>
      </c>
      <c r="L188">
        <v>5175</v>
      </c>
      <c r="T188">
        <v>20090210</v>
      </c>
      <c r="U188">
        <v>4456</v>
      </c>
      <c r="V188">
        <v>4499</v>
      </c>
      <c r="W188">
        <v>4435</v>
      </c>
      <c r="X188">
        <v>4497</v>
      </c>
      <c r="Y188">
        <v>60156</v>
      </c>
      <c r="Z188">
        <v>0</v>
      </c>
      <c r="AA188">
        <v>41</v>
      </c>
      <c r="AB188">
        <v>1</v>
      </c>
      <c r="AC188">
        <v>0.7</v>
      </c>
      <c r="AD188">
        <v>-1</v>
      </c>
      <c r="AE188">
        <v>4323.125</v>
      </c>
      <c r="AF188">
        <v>4377.45</v>
      </c>
      <c r="AG188">
        <v>0</v>
      </c>
      <c r="AH188">
        <v>-1</v>
      </c>
      <c r="AI188">
        <v>-2</v>
      </c>
      <c r="AJ188">
        <v>-82</v>
      </c>
      <c r="AK188">
        <v>3904</v>
      </c>
    </row>
    <row r="189" spans="1:37" x14ac:dyDescent="0.25">
      <c r="A189">
        <v>1</v>
      </c>
      <c r="B189">
        <v>0.7</v>
      </c>
      <c r="C189">
        <v>-1</v>
      </c>
      <c r="D189">
        <v>4376.375</v>
      </c>
      <c r="E189">
        <v>4367.75</v>
      </c>
      <c r="F189">
        <v>1</v>
      </c>
      <c r="G189">
        <v>-112</v>
      </c>
      <c r="H189">
        <v>173</v>
      </c>
      <c r="I189">
        <v>1</v>
      </c>
      <c r="J189">
        <v>-2</v>
      </c>
      <c r="K189">
        <v>-122</v>
      </c>
      <c r="L189">
        <v>5053</v>
      </c>
      <c r="T189">
        <v>20090211</v>
      </c>
      <c r="U189">
        <v>4385</v>
      </c>
      <c r="V189">
        <v>4578</v>
      </c>
      <c r="W189">
        <v>4372</v>
      </c>
      <c r="X189">
        <v>4558</v>
      </c>
      <c r="Y189">
        <v>90722</v>
      </c>
      <c r="Z189">
        <v>-112</v>
      </c>
      <c r="AA189">
        <v>173</v>
      </c>
      <c r="AB189">
        <v>1</v>
      </c>
      <c r="AC189">
        <v>0.7</v>
      </c>
      <c r="AD189">
        <v>-1</v>
      </c>
      <c r="AE189">
        <v>4376.375</v>
      </c>
      <c r="AF189">
        <v>4367.75</v>
      </c>
      <c r="AG189">
        <v>1</v>
      </c>
      <c r="AH189">
        <v>1</v>
      </c>
      <c r="AI189">
        <v>-2</v>
      </c>
      <c r="AJ189">
        <v>-122</v>
      </c>
      <c r="AK189">
        <v>3782</v>
      </c>
    </row>
    <row r="190" spans="1:37" x14ac:dyDescent="0.25">
      <c r="A190">
        <v>0</v>
      </c>
      <c r="B190">
        <v>0.7</v>
      </c>
      <c r="C190">
        <v>-1</v>
      </c>
      <c r="D190">
        <v>4411.875</v>
      </c>
      <c r="E190">
        <v>4367.3999999999996</v>
      </c>
      <c r="F190">
        <v>0</v>
      </c>
      <c r="G190">
        <v>-38</v>
      </c>
      <c r="H190">
        <v>-75</v>
      </c>
      <c r="I190">
        <v>-1</v>
      </c>
      <c r="J190">
        <v>-1</v>
      </c>
      <c r="K190">
        <v>151</v>
      </c>
      <c r="L190">
        <v>5204</v>
      </c>
      <c r="T190">
        <v>20090212</v>
      </c>
      <c r="U190">
        <v>4520</v>
      </c>
      <c r="V190">
        <v>4564</v>
      </c>
      <c r="W190">
        <v>4398</v>
      </c>
      <c r="X190">
        <v>4445</v>
      </c>
      <c r="Y190">
        <v>112010</v>
      </c>
      <c r="Z190">
        <v>-38</v>
      </c>
      <c r="AA190">
        <v>-75</v>
      </c>
      <c r="AB190">
        <v>0</v>
      </c>
      <c r="AC190">
        <v>0.7</v>
      </c>
      <c r="AD190">
        <v>-1</v>
      </c>
      <c r="AE190">
        <v>4411.875</v>
      </c>
      <c r="AF190">
        <v>4367.3999999999996</v>
      </c>
      <c r="AG190">
        <v>0</v>
      </c>
      <c r="AH190">
        <v>-1</v>
      </c>
      <c r="AI190">
        <v>-1</v>
      </c>
      <c r="AJ190">
        <v>151</v>
      </c>
      <c r="AK190">
        <v>3933</v>
      </c>
    </row>
    <row r="191" spans="1:37" x14ac:dyDescent="0.25">
      <c r="A191">
        <v>1</v>
      </c>
      <c r="B191">
        <v>0.8</v>
      </c>
      <c r="C191">
        <v>-1</v>
      </c>
      <c r="D191">
        <v>4448.875</v>
      </c>
      <c r="E191">
        <v>4374.8999999999996</v>
      </c>
      <c r="F191">
        <v>0</v>
      </c>
      <c r="G191">
        <v>14</v>
      </c>
      <c r="H191">
        <v>112</v>
      </c>
      <c r="I191">
        <v>-1</v>
      </c>
      <c r="J191">
        <v>-2</v>
      </c>
      <c r="K191">
        <v>-238</v>
      </c>
      <c r="L191">
        <v>4966</v>
      </c>
      <c r="T191">
        <v>20090213</v>
      </c>
      <c r="U191">
        <v>4459</v>
      </c>
      <c r="V191">
        <v>4590</v>
      </c>
      <c r="W191">
        <v>4451</v>
      </c>
      <c r="X191">
        <v>4571</v>
      </c>
      <c r="Y191">
        <v>104666</v>
      </c>
      <c r="Z191">
        <v>14</v>
      </c>
      <c r="AA191">
        <v>112</v>
      </c>
      <c r="AB191">
        <v>1</v>
      </c>
      <c r="AC191">
        <v>0.8</v>
      </c>
      <c r="AD191">
        <v>-1</v>
      </c>
      <c r="AE191">
        <v>4448.875</v>
      </c>
      <c r="AF191">
        <v>4374.8999999999996</v>
      </c>
      <c r="AG191">
        <v>0</v>
      </c>
      <c r="AH191">
        <v>-1</v>
      </c>
      <c r="AI191">
        <v>-2</v>
      </c>
      <c r="AJ191">
        <v>-238</v>
      </c>
      <c r="AK191">
        <v>3695</v>
      </c>
    </row>
    <row r="192" spans="1:37" x14ac:dyDescent="0.25">
      <c r="A192">
        <v>1</v>
      </c>
      <c r="B192">
        <v>0.8</v>
      </c>
      <c r="C192">
        <v>-1</v>
      </c>
      <c r="D192">
        <v>4476.875</v>
      </c>
      <c r="E192">
        <v>4384.95</v>
      </c>
      <c r="F192">
        <v>0</v>
      </c>
      <c r="G192">
        <v>-2</v>
      </c>
      <c r="H192">
        <v>6</v>
      </c>
      <c r="I192">
        <v>-1</v>
      </c>
      <c r="J192">
        <v>-2</v>
      </c>
      <c r="K192">
        <v>-8</v>
      </c>
      <c r="L192">
        <v>4958</v>
      </c>
      <c r="T192">
        <v>20090216</v>
      </c>
      <c r="U192">
        <v>4569</v>
      </c>
      <c r="V192">
        <v>4588</v>
      </c>
      <c r="W192">
        <v>4534</v>
      </c>
      <c r="X192">
        <v>4575</v>
      </c>
      <c r="Y192">
        <v>64270</v>
      </c>
      <c r="Z192">
        <v>-2</v>
      </c>
      <c r="AA192">
        <v>6</v>
      </c>
      <c r="AB192">
        <v>1</v>
      </c>
      <c r="AC192">
        <v>0.8</v>
      </c>
      <c r="AD192">
        <v>-1</v>
      </c>
      <c r="AE192">
        <v>4476.875</v>
      </c>
      <c r="AF192">
        <v>4384.95</v>
      </c>
      <c r="AG192">
        <v>0</v>
      </c>
      <c r="AH192">
        <v>-1</v>
      </c>
      <c r="AI192">
        <v>-2</v>
      </c>
      <c r="AJ192">
        <v>-8</v>
      </c>
      <c r="AK192">
        <v>3687</v>
      </c>
    </row>
    <row r="193" spans="1:37" x14ac:dyDescent="0.25">
      <c r="A193">
        <v>0</v>
      </c>
      <c r="B193">
        <v>0.7</v>
      </c>
      <c r="C193">
        <v>-1</v>
      </c>
      <c r="D193">
        <v>4504.875</v>
      </c>
      <c r="E193">
        <v>4388.2</v>
      </c>
      <c r="F193">
        <v>0</v>
      </c>
      <c r="G193">
        <v>-54</v>
      </c>
      <c r="H193">
        <v>-27</v>
      </c>
      <c r="I193">
        <v>-1</v>
      </c>
      <c r="J193">
        <v>-2</v>
      </c>
      <c r="K193">
        <v>162</v>
      </c>
      <c r="L193">
        <v>5120</v>
      </c>
      <c r="T193">
        <v>20090217</v>
      </c>
      <c r="U193">
        <v>4521</v>
      </c>
      <c r="V193">
        <v>4559</v>
      </c>
      <c r="W193">
        <v>4437</v>
      </c>
      <c r="X193">
        <v>4494</v>
      </c>
      <c r="Y193">
        <v>80444</v>
      </c>
      <c r="Z193">
        <v>-54</v>
      </c>
      <c r="AA193">
        <v>-27</v>
      </c>
      <c r="AB193">
        <v>0</v>
      </c>
      <c r="AC193">
        <v>0.7</v>
      </c>
      <c r="AD193">
        <v>-1</v>
      </c>
      <c r="AE193">
        <v>4504.875</v>
      </c>
      <c r="AF193">
        <v>4388.2</v>
      </c>
      <c r="AG193">
        <v>0</v>
      </c>
      <c r="AH193">
        <v>-1</v>
      </c>
      <c r="AI193">
        <v>-2</v>
      </c>
      <c r="AJ193">
        <v>162</v>
      </c>
      <c r="AK193">
        <v>3849</v>
      </c>
    </row>
    <row r="194" spans="1:37" x14ac:dyDescent="0.25">
      <c r="A194">
        <v>0</v>
      </c>
      <c r="B194">
        <v>0.6</v>
      </c>
      <c r="C194">
        <v>-1</v>
      </c>
      <c r="D194">
        <v>4502.75</v>
      </c>
      <c r="E194">
        <v>4383.6000000000004</v>
      </c>
      <c r="F194">
        <v>0</v>
      </c>
      <c r="G194">
        <v>-112</v>
      </c>
      <c r="H194">
        <v>44</v>
      </c>
      <c r="I194">
        <v>-1</v>
      </c>
      <c r="J194">
        <v>-2</v>
      </c>
      <c r="K194">
        <v>136</v>
      </c>
      <c r="L194">
        <v>5256</v>
      </c>
      <c r="T194">
        <v>20090218</v>
      </c>
      <c r="U194">
        <v>4382</v>
      </c>
      <c r="V194">
        <v>4436</v>
      </c>
      <c r="W194">
        <v>4353</v>
      </c>
      <c r="X194">
        <v>4426</v>
      </c>
      <c r="Y194">
        <v>58677</v>
      </c>
      <c r="Z194">
        <v>-112</v>
      </c>
      <c r="AA194">
        <v>44</v>
      </c>
      <c r="AB194">
        <v>0</v>
      </c>
      <c r="AC194">
        <v>0.6</v>
      </c>
      <c r="AD194">
        <v>-1</v>
      </c>
      <c r="AE194">
        <v>4502.75</v>
      </c>
      <c r="AF194">
        <v>4383.6000000000004</v>
      </c>
      <c r="AG194">
        <v>0</v>
      </c>
      <c r="AH194">
        <v>-1</v>
      </c>
      <c r="AI194">
        <v>-2</v>
      </c>
      <c r="AJ194">
        <v>136</v>
      </c>
      <c r="AK194">
        <v>3985</v>
      </c>
    </row>
    <row r="195" spans="1:37" x14ac:dyDescent="0.25">
      <c r="A195">
        <v>1</v>
      </c>
      <c r="B195">
        <v>0.7</v>
      </c>
      <c r="C195">
        <v>-1</v>
      </c>
      <c r="D195">
        <v>4504.25</v>
      </c>
      <c r="E195">
        <v>4381.5</v>
      </c>
      <c r="F195">
        <v>0</v>
      </c>
      <c r="G195">
        <v>-15</v>
      </c>
      <c r="H195">
        <v>57</v>
      </c>
      <c r="I195">
        <v>-1</v>
      </c>
      <c r="J195">
        <v>-2</v>
      </c>
      <c r="K195">
        <v>-84</v>
      </c>
      <c r="L195">
        <v>5172</v>
      </c>
      <c r="T195">
        <v>20090219</v>
      </c>
      <c r="U195">
        <v>4411</v>
      </c>
      <c r="V195">
        <v>4524</v>
      </c>
      <c r="W195">
        <v>4334</v>
      </c>
      <c r="X195">
        <v>4468</v>
      </c>
      <c r="Y195">
        <v>118683</v>
      </c>
      <c r="Z195">
        <v>-15</v>
      </c>
      <c r="AA195">
        <v>57</v>
      </c>
      <c r="AB195">
        <v>1</v>
      </c>
      <c r="AC195">
        <v>0.7</v>
      </c>
      <c r="AD195">
        <v>-1</v>
      </c>
      <c r="AE195">
        <v>4504.25</v>
      </c>
      <c r="AF195">
        <v>4381.5</v>
      </c>
      <c r="AG195">
        <v>0</v>
      </c>
      <c r="AH195">
        <v>-1</v>
      </c>
      <c r="AI195">
        <v>-2</v>
      </c>
      <c r="AJ195">
        <v>-84</v>
      </c>
      <c r="AK195">
        <v>3901</v>
      </c>
    </row>
    <row r="196" spans="1:37" x14ac:dyDescent="0.25">
      <c r="A196">
        <v>0</v>
      </c>
      <c r="B196">
        <v>0.6</v>
      </c>
      <c r="C196">
        <v>-1</v>
      </c>
      <c r="D196">
        <v>4487.5</v>
      </c>
      <c r="E196">
        <v>4387.7</v>
      </c>
      <c r="F196">
        <v>0</v>
      </c>
      <c r="G196">
        <v>-63</v>
      </c>
      <c r="H196">
        <v>-42</v>
      </c>
      <c r="I196">
        <v>-1</v>
      </c>
      <c r="J196">
        <v>-2</v>
      </c>
      <c r="K196">
        <v>210</v>
      </c>
      <c r="L196">
        <v>5382</v>
      </c>
      <c r="T196">
        <v>20090220</v>
      </c>
      <c r="U196">
        <v>4405</v>
      </c>
      <c r="V196">
        <v>4453</v>
      </c>
      <c r="W196">
        <v>4345</v>
      </c>
      <c r="X196">
        <v>4363</v>
      </c>
      <c r="Y196">
        <v>105134</v>
      </c>
      <c r="Z196">
        <v>-63</v>
      </c>
      <c r="AA196">
        <v>-42</v>
      </c>
      <c r="AB196">
        <v>0</v>
      </c>
      <c r="AC196">
        <v>0.6</v>
      </c>
      <c r="AD196">
        <v>-1</v>
      </c>
      <c r="AE196">
        <v>4487.5</v>
      </c>
      <c r="AF196">
        <v>4387.7</v>
      </c>
      <c r="AG196">
        <v>0</v>
      </c>
      <c r="AH196">
        <v>-1</v>
      </c>
      <c r="AI196">
        <v>-2</v>
      </c>
      <c r="AJ196">
        <v>210</v>
      </c>
      <c r="AK196">
        <v>4111</v>
      </c>
    </row>
    <row r="197" spans="1:37" x14ac:dyDescent="0.25">
      <c r="A197">
        <v>1</v>
      </c>
      <c r="B197">
        <v>0.6</v>
      </c>
      <c r="C197">
        <v>-1</v>
      </c>
      <c r="D197">
        <v>4471</v>
      </c>
      <c r="E197">
        <v>4392.8500000000004</v>
      </c>
      <c r="F197">
        <v>0</v>
      </c>
      <c r="G197">
        <v>-31</v>
      </c>
      <c r="H197">
        <v>94</v>
      </c>
      <c r="I197">
        <v>-1</v>
      </c>
      <c r="J197">
        <v>-2</v>
      </c>
      <c r="K197">
        <v>-126</v>
      </c>
      <c r="L197">
        <v>5256</v>
      </c>
      <c r="T197">
        <v>20090223</v>
      </c>
      <c r="U197">
        <v>4332</v>
      </c>
      <c r="V197">
        <v>4433</v>
      </c>
      <c r="W197">
        <v>4296</v>
      </c>
      <c r="X197">
        <v>4426</v>
      </c>
      <c r="Y197">
        <v>102515</v>
      </c>
      <c r="Z197">
        <v>-31</v>
      </c>
      <c r="AA197">
        <v>94</v>
      </c>
      <c r="AB197">
        <v>1</v>
      </c>
      <c r="AC197">
        <v>0.6</v>
      </c>
      <c r="AD197">
        <v>-1</v>
      </c>
      <c r="AE197">
        <v>4471</v>
      </c>
      <c r="AF197">
        <v>4392.8500000000004</v>
      </c>
      <c r="AG197">
        <v>0</v>
      </c>
      <c r="AH197">
        <v>-1</v>
      </c>
      <c r="AI197">
        <v>-2</v>
      </c>
      <c r="AJ197">
        <v>-126</v>
      </c>
      <c r="AK197">
        <v>3985</v>
      </c>
    </row>
    <row r="198" spans="1:37" x14ac:dyDescent="0.25">
      <c r="A198">
        <v>0</v>
      </c>
      <c r="B198">
        <v>0.5</v>
      </c>
      <c r="C198">
        <v>-1</v>
      </c>
      <c r="D198">
        <v>4463</v>
      </c>
      <c r="E198">
        <v>4394.45</v>
      </c>
      <c r="F198">
        <v>0</v>
      </c>
      <c r="G198">
        <v>-99</v>
      </c>
      <c r="H198">
        <v>54</v>
      </c>
      <c r="I198">
        <v>-1</v>
      </c>
      <c r="J198">
        <v>-2</v>
      </c>
      <c r="K198">
        <v>90</v>
      </c>
      <c r="L198">
        <v>5346</v>
      </c>
      <c r="T198">
        <v>20090224</v>
      </c>
      <c r="U198">
        <v>4327</v>
      </c>
      <c r="V198">
        <v>4395</v>
      </c>
      <c r="W198">
        <v>4313</v>
      </c>
      <c r="X198">
        <v>4381</v>
      </c>
      <c r="Y198">
        <v>83683</v>
      </c>
      <c r="Z198">
        <v>-99</v>
      </c>
      <c r="AA198">
        <v>54</v>
      </c>
      <c r="AB198">
        <v>0</v>
      </c>
      <c r="AC198">
        <v>0.5</v>
      </c>
      <c r="AD198">
        <v>0</v>
      </c>
      <c r="AE198">
        <v>4463</v>
      </c>
      <c r="AF198">
        <v>4394.45</v>
      </c>
      <c r="AG198">
        <v>0</v>
      </c>
      <c r="AH198">
        <v>0</v>
      </c>
      <c r="AI198">
        <v>-2</v>
      </c>
      <c r="AJ198">
        <v>90</v>
      </c>
      <c r="AK198">
        <v>4075</v>
      </c>
    </row>
    <row r="199" spans="1:37" x14ac:dyDescent="0.25">
      <c r="A199">
        <v>1</v>
      </c>
      <c r="B199">
        <v>0.5</v>
      </c>
      <c r="C199">
        <v>-1</v>
      </c>
      <c r="D199">
        <v>4449.875</v>
      </c>
      <c r="E199">
        <v>4399.8999999999996</v>
      </c>
      <c r="F199">
        <v>0</v>
      </c>
      <c r="G199">
        <v>54</v>
      </c>
      <c r="H199">
        <v>31</v>
      </c>
      <c r="I199">
        <v>-1</v>
      </c>
      <c r="J199">
        <v>-2</v>
      </c>
      <c r="K199">
        <v>-170</v>
      </c>
      <c r="L199">
        <v>5176</v>
      </c>
      <c r="T199">
        <v>20090225</v>
      </c>
      <c r="U199">
        <v>4435</v>
      </c>
      <c r="V199">
        <v>4520</v>
      </c>
      <c r="W199">
        <v>4408</v>
      </c>
      <c r="X199">
        <v>4466</v>
      </c>
      <c r="Y199">
        <v>104986</v>
      </c>
      <c r="Z199">
        <v>54</v>
      </c>
      <c r="AA199">
        <v>31</v>
      </c>
      <c r="AB199">
        <v>1</v>
      </c>
      <c r="AC199">
        <v>0.5</v>
      </c>
      <c r="AD199">
        <v>0</v>
      </c>
      <c r="AE199">
        <v>4449.875</v>
      </c>
      <c r="AF199">
        <v>4399.8999999999996</v>
      </c>
      <c r="AG199">
        <v>0</v>
      </c>
      <c r="AH199">
        <v>0</v>
      </c>
      <c r="AI199">
        <v>-2</v>
      </c>
      <c r="AJ199">
        <v>-170</v>
      </c>
      <c r="AK199">
        <v>3905</v>
      </c>
    </row>
    <row r="200" spans="1:37" x14ac:dyDescent="0.25">
      <c r="A200">
        <v>1</v>
      </c>
      <c r="B200">
        <v>0.6</v>
      </c>
      <c r="C200">
        <v>-1</v>
      </c>
      <c r="D200">
        <v>4437.625</v>
      </c>
      <c r="E200">
        <v>4411.75</v>
      </c>
      <c r="F200">
        <v>0</v>
      </c>
      <c r="G200">
        <v>54</v>
      </c>
      <c r="H200">
        <v>-43</v>
      </c>
      <c r="I200">
        <v>-1</v>
      </c>
      <c r="J200">
        <v>-2</v>
      </c>
      <c r="K200">
        <v>-22</v>
      </c>
      <c r="L200">
        <v>5154</v>
      </c>
      <c r="T200">
        <v>20090226</v>
      </c>
      <c r="U200">
        <v>4520</v>
      </c>
      <c r="V200">
        <v>4538</v>
      </c>
      <c r="W200">
        <v>4440</v>
      </c>
      <c r="X200">
        <v>4477</v>
      </c>
      <c r="Y200">
        <v>89413</v>
      </c>
      <c r="Z200">
        <v>54</v>
      </c>
      <c r="AA200">
        <v>-43</v>
      </c>
      <c r="AB200">
        <v>1</v>
      </c>
      <c r="AC200">
        <v>0.6</v>
      </c>
      <c r="AD200">
        <v>-1</v>
      </c>
      <c r="AE200">
        <v>4437.625</v>
      </c>
      <c r="AF200">
        <v>4411.75</v>
      </c>
      <c r="AG200">
        <v>0</v>
      </c>
      <c r="AH200">
        <v>-1</v>
      </c>
      <c r="AI200">
        <v>-2</v>
      </c>
      <c r="AJ200">
        <v>-22</v>
      </c>
      <c r="AK200">
        <v>3883</v>
      </c>
    </row>
    <row r="201" spans="1:37" x14ac:dyDescent="0.25">
      <c r="A201">
        <v>1</v>
      </c>
      <c r="B201">
        <v>0.6</v>
      </c>
      <c r="C201">
        <v>-1</v>
      </c>
      <c r="D201">
        <v>4439.625</v>
      </c>
      <c r="E201">
        <v>4430.6499999999996</v>
      </c>
      <c r="F201">
        <v>0</v>
      </c>
      <c r="G201">
        <v>-5</v>
      </c>
      <c r="H201">
        <v>38</v>
      </c>
      <c r="I201">
        <v>-1</v>
      </c>
      <c r="J201">
        <v>-2</v>
      </c>
      <c r="K201">
        <v>-66</v>
      </c>
      <c r="L201">
        <v>5088</v>
      </c>
      <c r="T201">
        <v>20090227</v>
      </c>
      <c r="U201">
        <v>4472</v>
      </c>
      <c r="V201">
        <v>4528</v>
      </c>
      <c r="W201">
        <v>4452</v>
      </c>
      <c r="X201">
        <v>4510</v>
      </c>
      <c r="Y201">
        <v>73628</v>
      </c>
      <c r="Z201">
        <v>-5</v>
      </c>
      <c r="AA201">
        <v>38</v>
      </c>
      <c r="AB201">
        <v>1</v>
      </c>
      <c r="AC201">
        <v>0.6</v>
      </c>
      <c r="AD201">
        <v>-1</v>
      </c>
      <c r="AE201">
        <v>4439.625</v>
      </c>
      <c r="AF201">
        <v>4430.6499999999996</v>
      </c>
      <c r="AG201">
        <v>0</v>
      </c>
      <c r="AH201">
        <v>-1</v>
      </c>
      <c r="AI201">
        <v>-2</v>
      </c>
      <c r="AJ201">
        <v>-66</v>
      </c>
      <c r="AK201">
        <v>3817</v>
      </c>
    </row>
    <row r="202" spans="1:37" x14ac:dyDescent="0.25">
      <c r="A202">
        <v>0</v>
      </c>
      <c r="B202">
        <v>0.5</v>
      </c>
      <c r="C202">
        <v>-1</v>
      </c>
      <c r="D202">
        <v>4427.75</v>
      </c>
      <c r="E202">
        <v>4439.1499999999996</v>
      </c>
      <c r="F202">
        <v>-1</v>
      </c>
      <c r="G202">
        <v>-88</v>
      </c>
      <c r="H202">
        <v>-91</v>
      </c>
      <c r="I202">
        <v>-1</v>
      </c>
      <c r="J202">
        <v>-2</v>
      </c>
      <c r="K202">
        <v>358</v>
      </c>
      <c r="L202">
        <v>5446</v>
      </c>
      <c r="T202">
        <v>20090302</v>
      </c>
      <c r="U202">
        <v>4422</v>
      </c>
      <c r="V202">
        <v>4459</v>
      </c>
      <c r="W202">
        <v>4303</v>
      </c>
      <c r="X202">
        <v>4331</v>
      </c>
      <c r="Y202">
        <v>101175</v>
      </c>
      <c r="Z202">
        <v>-88</v>
      </c>
      <c r="AA202">
        <v>-91</v>
      </c>
      <c r="AB202">
        <v>0</v>
      </c>
      <c r="AC202">
        <v>0.5</v>
      </c>
      <c r="AD202">
        <v>0</v>
      </c>
      <c r="AE202">
        <v>4427.75</v>
      </c>
      <c r="AF202">
        <v>4439.1499999999996</v>
      </c>
      <c r="AG202">
        <v>-1</v>
      </c>
      <c r="AH202">
        <v>-1</v>
      </c>
      <c r="AI202">
        <v>-2</v>
      </c>
      <c r="AJ202">
        <v>358</v>
      </c>
      <c r="AK202">
        <v>4175</v>
      </c>
    </row>
    <row r="203" spans="1:37" x14ac:dyDescent="0.25">
      <c r="A203">
        <v>1</v>
      </c>
      <c r="B203">
        <v>0.6</v>
      </c>
      <c r="C203">
        <v>-1</v>
      </c>
      <c r="D203">
        <v>4415.125</v>
      </c>
      <c r="E203">
        <v>4443.75</v>
      </c>
      <c r="F203">
        <v>0</v>
      </c>
      <c r="G203">
        <v>-61</v>
      </c>
      <c r="H203">
        <v>97</v>
      </c>
      <c r="I203">
        <v>-1</v>
      </c>
      <c r="J203">
        <v>-2</v>
      </c>
      <c r="K203">
        <v>-72</v>
      </c>
      <c r="L203">
        <v>5374</v>
      </c>
      <c r="T203">
        <v>20090303</v>
      </c>
      <c r="U203">
        <v>4270</v>
      </c>
      <c r="V203">
        <v>4377</v>
      </c>
      <c r="W203">
        <v>4238</v>
      </c>
      <c r="X203">
        <v>4367</v>
      </c>
      <c r="Y203">
        <v>103908</v>
      </c>
      <c r="Z203">
        <v>-61</v>
      </c>
      <c r="AA203">
        <v>97</v>
      </c>
      <c r="AB203">
        <v>1</v>
      </c>
      <c r="AC203">
        <v>0.6</v>
      </c>
      <c r="AD203">
        <v>-1</v>
      </c>
      <c r="AE203">
        <v>4415.125</v>
      </c>
      <c r="AF203">
        <v>4443.75</v>
      </c>
      <c r="AG203">
        <v>0</v>
      </c>
      <c r="AH203">
        <v>-1</v>
      </c>
      <c r="AI203">
        <v>-2</v>
      </c>
      <c r="AJ203">
        <v>-72</v>
      </c>
      <c r="AK203">
        <v>4103</v>
      </c>
    </row>
    <row r="204" spans="1:37" x14ac:dyDescent="0.25">
      <c r="A204">
        <v>1</v>
      </c>
      <c r="B204">
        <v>0.7</v>
      </c>
      <c r="C204">
        <v>-1</v>
      </c>
      <c r="D204">
        <v>4433.625</v>
      </c>
      <c r="E204">
        <v>4451.75</v>
      </c>
      <c r="F204">
        <v>0</v>
      </c>
      <c r="G204">
        <v>-31</v>
      </c>
      <c r="H204">
        <v>175</v>
      </c>
      <c r="I204">
        <v>-1</v>
      </c>
      <c r="J204">
        <v>-2</v>
      </c>
      <c r="K204">
        <v>-288</v>
      </c>
      <c r="L204">
        <v>5086</v>
      </c>
      <c r="T204">
        <v>20090304</v>
      </c>
      <c r="U204">
        <v>4336</v>
      </c>
      <c r="V204">
        <v>4516</v>
      </c>
      <c r="W204">
        <v>4322</v>
      </c>
      <c r="X204">
        <v>4511</v>
      </c>
      <c r="Y204">
        <v>109654</v>
      </c>
      <c r="Z204">
        <v>-31</v>
      </c>
      <c r="AA204">
        <v>175</v>
      </c>
      <c r="AB204">
        <v>1</v>
      </c>
      <c r="AC204">
        <v>0.7</v>
      </c>
      <c r="AD204">
        <v>-1</v>
      </c>
      <c r="AE204">
        <v>4433.625</v>
      </c>
      <c r="AF204">
        <v>4451.75</v>
      </c>
      <c r="AG204">
        <v>0</v>
      </c>
      <c r="AH204">
        <v>-1</v>
      </c>
      <c r="AI204">
        <v>-2</v>
      </c>
      <c r="AJ204">
        <v>-288</v>
      </c>
      <c r="AK204">
        <v>3815</v>
      </c>
    </row>
    <row r="205" spans="1:37" x14ac:dyDescent="0.25">
      <c r="A205">
        <v>1</v>
      </c>
      <c r="B205">
        <v>0.7</v>
      </c>
      <c r="C205">
        <v>-1</v>
      </c>
      <c r="D205">
        <v>4454.75</v>
      </c>
      <c r="E205">
        <v>4468</v>
      </c>
      <c r="F205">
        <v>0</v>
      </c>
      <c r="G205">
        <v>30</v>
      </c>
      <c r="H205">
        <v>54</v>
      </c>
      <c r="I205">
        <v>-1</v>
      </c>
      <c r="J205">
        <v>-2</v>
      </c>
      <c r="K205">
        <v>-168</v>
      </c>
      <c r="L205">
        <v>4918</v>
      </c>
      <c r="T205">
        <v>20090305</v>
      </c>
      <c r="U205">
        <v>4541</v>
      </c>
      <c r="V205">
        <v>4646</v>
      </c>
      <c r="W205">
        <v>4539</v>
      </c>
      <c r="X205">
        <v>4595</v>
      </c>
      <c r="Y205">
        <v>120108</v>
      </c>
      <c r="Z205">
        <v>30</v>
      </c>
      <c r="AA205">
        <v>54</v>
      </c>
      <c r="AB205">
        <v>1</v>
      </c>
      <c r="AC205">
        <v>0.7</v>
      </c>
      <c r="AD205">
        <v>-1</v>
      </c>
      <c r="AE205">
        <v>4454.75</v>
      </c>
      <c r="AF205">
        <v>4468</v>
      </c>
      <c r="AG205">
        <v>0</v>
      </c>
      <c r="AH205">
        <v>-1</v>
      </c>
      <c r="AI205">
        <v>-2</v>
      </c>
      <c r="AJ205">
        <v>-168</v>
      </c>
      <c r="AK205">
        <v>3647</v>
      </c>
    </row>
    <row r="206" spans="1:37" x14ac:dyDescent="0.25">
      <c r="A206">
        <v>1</v>
      </c>
      <c r="B206">
        <v>0.8</v>
      </c>
      <c r="C206">
        <v>-1</v>
      </c>
      <c r="D206">
        <v>4485.625</v>
      </c>
      <c r="E206">
        <v>4477.25</v>
      </c>
      <c r="F206">
        <v>1</v>
      </c>
      <c r="G206">
        <v>-45</v>
      </c>
      <c r="H206">
        <v>78</v>
      </c>
      <c r="I206">
        <v>1</v>
      </c>
      <c r="J206">
        <v>-2</v>
      </c>
      <c r="K206">
        <v>-66</v>
      </c>
      <c r="L206">
        <v>4852</v>
      </c>
      <c r="T206">
        <v>20090306</v>
      </c>
      <c r="U206">
        <v>4550</v>
      </c>
      <c r="V206">
        <v>4638</v>
      </c>
      <c r="W206">
        <v>4540</v>
      </c>
      <c r="X206">
        <v>4628</v>
      </c>
      <c r="Y206">
        <v>109029</v>
      </c>
      <c r="Z206">
        <v>-45</v>
      </c>
      <c r="AA206">
        <v>78</v>
      </c>
      <c r="AB206">
        <v>1</v>
      </c>
      <c r="AC206">
        <v>0.8</v>
      </c>
      <c r="AD206">
        <v>-1</v>
      </c>
      <c r="AE206">
        <v>4485.625</v>
      </c>
      <c r="AF206">
        <v>4477.25</v>
      </c>
      <c r="AG206">
        <v>1</v>
      </c>
      <c r="AH206">
        <v>1</v>
      </c>
      <c r="AI206">
        <v>-2</v>
      </c>
      <c r="AJ206">
        <v>-66</v>
      </c>
      <c r="AK206">
        <v>3581</v>
      </c>
    </row>
    <row r="207" spans="1:37" x14ac:dyDescent="0.25">
      <c r="A207">
        <v>0</v>
      </c>
      <c r="B207">
        <v>0.7</v>
      </c>
      <c r="C207">
        <v>-1</v>
      </c>
      <c r="D207">
        <v>4505.375</v>
      </c>
      <c r="E207">
        <v>4485.6499999999996</v>
      </c>
      <c r="F207">
        <v>0</v>
      </c>
      <c r="G207">
        <v>44</v>
      </c>
      <c r="H207">
        <v>-48</v>
      </c>
      <c r="I207">
        <v>-1</v>
      </c>
      <c r="J207">
        <v>-1</v>
      </c>
      <c r="K207">
        <v>-40</v>
      </c>
      <c r="L207">
        <v>4812</v>
      </c>
      <c r="T207">
        <v>20090309</v>
      </c>
      <c r="U207">
        <v>4672</v>
      </c>
      <c r="V207">
        <v>4675</v>
      </c>
      <c r="W207">
        <v>4543</v>
      </c>
      <c r="X207">
        <v>4624</v>
      </c>
      <c r="Y207">
        <v>93646</v>
      </c>
      <c r="Z207">
        <v>44</v>
      </c>
      <c r="AA207">
        <v>-48</v>
      </c>
      <c r="AB207">
        <v>0</v>
      </c>
      <c r="AC207">
        <v>0.7</v>
      </c>
      <c r="AD207">
        <v>-1</v>
      </c>
      <c r="AE207">
        <v>4505.375</v>
      </c>
      <c r="AF207">
        <v>4485.6499999999996</v>
      </c>
      <c r="AG207">
        <v>0</v>
      </c>
      <c r="AH207">
        <v>-1</v>
      </c>
      <c r="AI207">
        <v>-1</v>
      </c>
      <c r="AJ207">
        <v>-40</v>
      </c>
      <c r="AK207">
        <v>3541</v>
      </c>
    </row>
    <row r="208" spans="1:37" x14ac:dyDescent="0.25">
      <c r="A208">
        <v>1</v>
      </c>
      <c r="B208">
        <v>0.8</v>
      </c>
      <c r="C208">
        <v>-1</v>
      </c>
      <c r="D208">
        <v>4527.75</v>
      </c>
      <c r="E208">
        <v>4493.6000000000004</v>
      </c>
      <c r="F208">
        <v>0</v>
      </c>
      <c r="G208">
        <v>-23</v>
      </c>
      <c r="H208">
        <v>55</v>
      </c>
      <c r="I208">
        <v>-1</v>
      </c>
      <c r="J208">
        <v>-2</v>
      </c>
      <c r="K208">
        <v>-87</v>
      </c>
      <c r="L208">
        <v>4725</v>
      </c>
      <c r="T208">
        <v>20090310</v>
      </c>
      <c r="U208">
        <v>4601</v>
      </c>
      <c r="V208">
        <v>4669</v>
      </c>
      <c r="W208">
        <v>4567</v>
      </c>
      <c r="X208">
        <v>4656</v>
      </c>
      <c r="Y208">
        <v>91575</v>
      </c>
      <c r="Z208">
        <v>-23</v>
      </c>
      <c r="AA208">
        <v>55</v>
      </c>
      <c r="AB208">
        <v>1</v>
      </c>
      <c r="AC208">
        <v>0.8</v>
      </c>
      <c r="AD208">
        <v>-1</v>
      </c>
      <c r="AE208">
        <v>4527.75</v>
      </c>
      <c r="AF208">
        <v>4493.6000000000004</v>
      </c>
      <c r="AG208">
        <v>0</v>
      </c>
      <c r="AH208">
        <v>-1</v>
      </c>
      <c r="AI208">
        <v>-2</v>
      </c>
      <c r="AJ208">
        <v>-87</v>
      </c>
      <c r="AK208">
        <v>3454</v>
      </c>
    </row>
    <row r="209" spans="1:37" x14ac:dyDescent="0.25">
      <c r="A209">
        <v>1</v>
      </c>
      <c r="B209">
        <v>0.8</v>
      </c>
      <c r="C209">
        <v>-1</v>
      </c>
      <c r="D209">
        <v>4558.75</v>
      </c>
      <c r="E209">
        <v>4503.6000000000004</v>
      </c>
      <c r="F209">
        <v>0</v>
      </c>
      <c r="G209">
        <v>119</v>
      </c>
      <c r="H209">
        <v>-17</v>
      </c>
      <c r="I209">
        <v>-1</v>
      </c>
      <c r="J209">
        <v>-2</v>
      </c>
      <c r="K209">
        <v>-204</v>
      </c>
      <c r="L209">
        <v>4521</v>
      </c>
      <c r="T209">
        <v>20090311</v>
      </c>
      <c r="U209">
        <v>4775</v>
      </c>
      <c r="V209">
        <v>4785</v>
      </c>
      <c r="W209">
        <v>4715</v>
      </c>
      <c r="X209">
        <v>4758</v>
      </c>
      <c r="Y209">
        <v>76468</v>
      </c>
      <c r="Z209">
        <v>119</v>
      </c>
      <c r="AA209">
        <v>-17</v>
      </c>
      <c r="AB209">
        <v>1</v>
      </c>
      <c r="AC209">
        <v>0.8</v>
      </c>
      <c r="AD209">
        <v>-1</v>
      </c>
      <c r="AE209">
        <v>4558.75</v>
      </c>
      <c r="AF209">
        <v>4503.6000000000004</v>
      </c>
      <c r="AG209">
        <v>0</v>
      </c>
      <c r="AH209">
        <v>-1</v>
      </c>
      <c r="AI209">
        <v>-2</v>
      </c>
      <c r="AJ209">
        <v>-204</v>
      </c>
      <c r="AK209">
        <v>3250</v>
      </c>
    </row>
    <row r="210" spans="1:37" x14ac:dyDescent="0.25">
      <c r="A210">
        <v>0</v>
      </c>
      <c r="B210">
        <v>0.7</v>
      </c>
      <c r="C210">
        <v>-1</v>
      </c>
      <c r="D210">
        <v>4610.875</v>
      </c>
      <c r="E210">
        <v>4518.75</v>
      </c>
      <c r="F210">
        <v>0</v>
      </c>
      <c r="G210">
        <v>-6</v>
      </c>
      <c r="H210">
        <v>-4</v>
      </c>
      <c r="I210">
        <v>-1</v>
      </c>
      <c r="J210">
        <v>-2</v>
      </c>
      <c r="K210">
        <v>20</v>
      </c>
      <c r="L210">
        <v>4541</v>
      </c>
      <c r="T210">
        <v>20090312</v>
      </c>
      <c r="U210">
        <v>4752</v>
      </c>
      <c r="V210">
        <v>4779</v>
      </c>
      <c r="W210">
        <v>4724</v>
      </c>
      <c r="X210">
        <v>4748</v>
      </c>
      <c r="Y210">
        <v>62705</v>
      </c>
      <c r="Z210">
        <v>-6</v>
      </c>
      <c r="AA210">
        <v>-4</v>
      </c>
      <c r="AB210">
        <v>0</v>
      </c>
      <c r="AC210">
        <v>0.7</v>
      </c>
      <c r="AD210">
        <v>-1</v>
      </c>
      <c r="AE210">
        <v>4610.875</v>
      </c>
      <c r="AF210">
        <v>4518.75</v>
      </c>
      <c r="AG210">
        <v>0</v>
      </c>
      <c r="AH210">
        <v>-1</v>
      </c>
      <c r="AI210">
        <v>-2</v>
      </c>
      <c r="AJ210">
        <v>20</v>
      </c>
      <c r="AK210">
        <v>3270</v>
      </c>
    </row>
    <row r="211" spans="1:37" x14ac:dyDescent="0.25">
      <c r="A211">
        <v>1</v>
      </c>
      <c r="B211">
        <v>0.7</v>
      </c>
      <c r="C211">
        <v>-1</v>
      </c>
      <c r="D211">
        <v>4677.5</v>
      </c>
      <c r="E211">
        <v>4535.2</v>
      </c>
      <c r="F211">
        <v>0</v>
      </c>
      <c r="G211">
        <v>72</v>
      </c>
      <c r="H211">
        <v>80</v>
      </c>
      <c r="I211">
        <v>-1</v>
      </c>
      <c r="J211">
        <v>-2</v>
      </c>
      <c r="K211">
        <v>-304</v>
      </c>
      <c r="L211">
        <v>4237</v>
      </c>
      <c r="T211">
        <v>20090313</v>
      </c>
      <c r="U211">
        <v>4820</v>
      </c>
      <c r="V211">
        <v>4942</v>
      </c>
      <c r="W211">
        <v>4813</v>
      </c>
      <c r="X211">
        <v>4900</v>
      </c>
      <c r="Y211">
        <v>96063</v>
      </c>
      <c r="Z211">
        <v>72</v>
      </c>
      <c r="AA211">
        <v>80</v>
      </c>
      <c r="AB211">
        <v>1</v>
      </c>
      <c r="AC211">
        <v>0.7</v>
      </c>
      <c r="AD211">
        <v>-1</v>
      </c>
      <c r="AE211">
        <v>4677.5</v>
      </c>
      <c r="AF211">
        <v>4535.2</v>
      </c>
      <c r="AG211">
        <v>0</v>
      </c>
      <c r="AH211">
        <v>-1</v>
      </c>
      <c r="AI211">
        <v>-2</v>
      </c>
      <c r="AJ211">
        <v>-304</v>
      </c>
      <c r="AK211">
        <v>2966</v>
      </c>
    </row>
    <row r="212" spans="1:37" x14ac:dyDescent="0.25">
      <c r="A212">
        <v>1</v>
      </c>
      <c r="B212">
        <v>0.8</v>
      </c>
      <c r="C212">
        <v>-1</v>
      </c>
      <c r="D212">
        <v>4733.875</v>
      </c>
      <c r="E212">
        <v>4554.55</v>
      </c>
      <c r="F212">
        <v>0</v>
      </c>
      <c r="G212">
        <v>38</v>
      </c>
      <c r="H212">
        <v>24</v>
      </c>
      <c r="I212">
        <v>-1</v>
      </c>
      <c r="J212">
        <v>-2</v>
      </c>
      <c r="K212">
        <v>-124</v>
      </c>
      <c r="L212">
        <v>4113</v>
      </c>
      <c r="T212">
        <v>20090316</v>
      </c>
      <c r="U212">
        <v>4938</v>
      </c>
      <c r="V212">
        <v>4985</v>
      </c>
      <c r="W212">
        <v>4907</v>
      </c>
      <c r="X212">
        <v>4962</v>
      </c>
      <c r="Y212">
        <v>75400</v>
      </c>
      <c r="Z212">
        <v>38</v>
      </c>
      <c r="AA212">
        <v>24</v>
      </c>
      <c r="AB212">
        <v>1</v>
      </c>
      <c r="AC212">
        <v>0.8</v>
      </c>
      <c r="AD212">
        <v>-1</v>
      </c>
      <c r="AE212">
        <v>4733.875</v>
      </c>
      <c r="AF212">
        <v>4554.55</v>
      </c>
      <c r="AG212">
        <v>0</v>
      </c>
      <c r="AH212">
        <v>-1</v>
      </c>
      <c r="AI212">
        <v>-2</v>
      </c>
      <c r="AJ212">
        <v>-124</v>
      </c>
      <c r="AK212">
        <v>2842</v>
      </c>
    </row>
    <row r="213" spans="1:37" x14ac:dyDescent="0.25">
      <c r="A213">
        <v>1</v>
      </c>
      <c r="B213">
        <v>0.8</v>
      </c>
      <c r="C213">
        <v>-1</v>
      </c>
      <c r="D213">
        <v>4791.625</v>
      </c>
      <c r="E213">
        <v>4582.7</v>
      </c>
      <c r="F213">
        <v>0</v>
      </c>
      <c r="G213">
        <v>4</v>
      </c>
      <c r="H213">
        <v>91</v>
      </c>
      <c r="I213">
        <v>-1</v>
      </c>
      <c r="J213">
        <v>-2</v>
      </c>
      <c r="K213">
        <v>-190</v>
      </c>
      <c r="L213">
        <v>3923</v>
      </c>
      <c r="T213">
        <v>20090317</v>
      </c>
      <c r="U213">
        <v>4966</v>
      </c>
      <c r="V213">
        <v>5070</v>
      </c>
      <c r="W213">
        <v>4946</v>
      </c>
      <c r="X213">
        <v>5057</v>
      </c>
      <c r="Y213">
        <v>87165</v>
      </c>
      <c r="Z213">
        <v>4</v>
      </c>
      <c r="AA213">
        <v>91</v>
      </c>
      <c r="AB213">
        <v>1</v>
      </c>
      <c r="AC213">
        <v>0.8</v>
      </c>
      <c r="AD213">
        <v>-1</v>
      </c>
      <c r="AE213">
        <v>4791.625</v>
      </c>
      <c r="AF213">
        <v>4582.7</v>
      </c>
      <c r="AG213">
        <v>0</v>
      </c>
      <c r="AH213">
        <v>-1</v>
      </c>
      <c r="AI213">
        <v>-2</v>
      </c>
      <c r="AJ213">
        <v>-190</v>
      </c>
      <c r="AK213">
        <v>2652</v>
      </c>
    </row>
    <row r="214" spans="1:37" x14ac:dyDescent="0.25">
      <c r="A214">
        <v>0</v>
      </c>
      <c r="B214">
        <v>0.7</v>
      </c>
      <c r="C214">
        <v>-1</v>
      </c>
      <c r="D214">
        <v>4841.5</v>
      </c>
      <c r="E214">
        <v>4612.75</v>
      </c>
      <c r="F214">
        <v>0</v>
      </c>
      <c r="G214">
        <v>-12</v>
      </c>
      <c r="H214">
        <v>-18</v>
      </c>
      <c r="I214">
        <v>-1</v>
      </c>
      <c r="J214">
        <v>-2</v>
      </c>
      <c r="K214">
        <v>60</v>
      </c>
      <c r="L214">
        <v>3983</v>
      </c>
      <c r="T214">
        <v>20090318</v>
      </c>
      <c r="U214">
        <v>5045</v>
      </c>
      <c r="V214">
        <v>5068</v>
      </c>
      <c r="W214">
        <v>4996</v>
      </c>
      <c r="X214">
        <v>5027</v>
      </c>
      <c r="Y214">
        <v>57454</v>
      </c>
      <c r="Z214">
        <v>-12</v>
      </c>
      <c r="AA214">
        <v>-18</v>
      </c>
      <c r="AB214">
        <v>0</v>
      </c>
      <c r="AC214">
        <v>0.7</v>
      </c>
      <c r="AD214">
        <v>-1</v>
      </c>
      <c r="AE214">
        <v>4841.5</v>
      </c>
      <c r="AF214">
        <v>4612.75</v>
      </c>
      <c r="AG214">
        <v>0</v>
      </c>
      <c r="AH214">
        <v>-1</v>
      </c>
      <c r="AI214">
        <v>-2</v>
      </c>
      <c r="AJ214">
        <v>60</v>
      </c>
      <c r="AK214">
        <v>2712</v>
      </c>
    </row>
    <row r="215" spans="1:37" x14ac:dyDescent="0.25">
      <c r="A215">
        <v>0</v>
      </c>
      <c r="B215">
        <v>0.6</v>
      </c>
      <c r="C215">
        <v>-1</v>
      </c>
      <c r="D215">
        <v>4886</v>
      </c>
      <c r="E215">
        <v>4638.3500000000004</v>
      </c>
      <c r="F215">
        <v>0</v>
      </c>
      <c r="G215">
        <v>18</v>
      </c>
      <c r="H215">
        <v>-65</v>
      </c>
      <c r="I215">
        <v>-1</v>
      </c>
      <c r="J215">
        <v>-2</v>
      </c>
      <c r="K215">
        <v>94</v>
      </c>
      <c r="L215">
        <v>4077</v>
      </c>
      <c r="T215">
        <v>20090319</v>
      </c>
      <c r="U215">
        <v>5045</v>
      </c>
      <c r="V215">
        <v>5105</v>
      </c>
      <c r="W215">
        <v>4975</v>
      </c>
      <c r="X215">
        <v>4980</v>
      </c>
      <c r="Y215">
        <v>105739</v>
      </c>
      <c r="Z215">
        <v>18</v>
      </c>
      <c r="AA215">
        <v>-65</v>
      </c>
      <c r="AB215">
        <v>0</v>
      </c>
      <c r="AC215">
        <v>0.6</v>
      </c>
      <c r="AD215">
        <v>-1</v>
      </c>
      <c r="AE215">
        <v>4886</v>
      </c>
      <c r="AF215">
        <v>4638.3500000000004</v>
      </c>
      <c r="AG215">
        <v>0</v>
      </c>
      <c r="AH215">
        <v>-1</v>
      </c>
      <c r="AI215">
        <v>-2</v>
      </c>
      <c r="AJ215">
        <v>94</v>
      </c>
      <c r="AK215">
        <v>2806</v>
      </c>
    </row>
    <row r="216" spans="1:37" x14ac:dyDescent="0.25">
      <c r="A216">
        <v>0</v>
      </c>
      <c r="B216">
        <v>0.5</v>
      </c>
      <c r="C216">
        <v>-1</v>
      </c>
      <c r="D216">
        <v>4922.75</v>
      </c>
      <c r="E216">
        <v>4667.7</v>
      </c>
      <c r="F216">
        <v>0</v>
      </c>
      <c r="G216">
        <v>26</v>
      </c>
      <c r="H216">
        <v>-56</v>
      </c>
      <c r="I216">
        <v>-1</v>
      </c>
      <c r="J216">
        <v>-2</v>
      </c>
      <c r="K216">
        <v>60</v>
      </c>
      <c r="L216">
        <v>4137</v>
      </c>
      <c r="T216">
        <v>20090320</v>
      </c>
      <c r="U216">
        <v>5006</v>
      </c>
      <c r="V216">
        <v>5040</v>
      </c>
      <c r="W216">
        <v>4922</v>
      </c>
      <c r="X216">
        <v>4950</v>
      </c>
      <c r="Y216">
        <v>106367</v>
      </c>
      <c r="Z216">
        <v>26</v>
      </c>
      <c r="AA216">
        <v>-56</v>
      </c>
      <c r="AB216">
        <v>0</v>
      </c>
      <c r="AC216">
        <v>0.5</v>
      </c>
      <c r="AD216">
        <v>0</v>
      </c>
      <c r="AE216">
        <v>4922.75</v>
      </c>
      <c r="AF216">
        <v>4667.7</v>
      </c>
      <c r="AG216">
        <v>0</v>
      </c>
      <c r="AH216">
        <v>0</v>
      </c>
      <c r="AI216">
        <v>-2</v>
      </c>
      <c r="AJ216">
        <v>60</v>
      </c>
      <c r="AK216">
        <v>2866</v>
      </c>
    </row>
    <row r="217" spans="1:37" x14ac:dyDescent="0.25">
      <c r="A217">
        <v>1</v>
      </c>
      <c r="B217">
        <v>0.6</v>
      </c>
      <c r="C217">
        <v>-1</v>
      </c>
      <c r="D217">
        <v>4969.375</v>
      </c>
      <c r="E217">
        <v>4702.95</v>
      </c>
      <c r="F217">
        <v>0</v>
      </c>
      <c r="G217">
        <v>82</v>
      </c>
      <c r="H217">
        <v>99</v>
      </c>
      <c r="I217">
        <v>-1</v>
      </c>
      <c r="J217">
        <v>-2</v>
      </c>
      <c r="K217">
        <v>-362</v>
      </c>
      <c r="L217">
        <v>3775</v>
      </c>
      <c r="T217">
        <v>20090323</v>
      </c>
      <c r="U217">
        <v>5032</v>
      </c>
      <c r="V217">
        <v>5132</v>
      </c>
      <c r="W217">
        <v>4991</v>
      </c>
      <c r="X217">
        <v>5131</v>
      </c>
      <c r="Y217">
        <v>95367</v>
      </c>
      <c r="Z217">
        <v>82</v>
      </c>
      <c r="AA217">
        <v>99</v>
      </c>
      <c r="AB217">
        <v>1</v>
      </c>
      <c r="AC217">
        <v>0.6</v>
      </c>
      <c r="AD217">
        <v>-1</v>
      </c>
      <c r="AE217">
        <v>4969.375</v>
      </c>
      <c r="AF217">
        <v>4702.95</v>
      </c>
      <c r="AG217">
        <v>0</v>
      </c>
      <c r="AH217">
        <v>-1</v>
      </c>
      <c r="AI217">
        <v>-2</v>
      </c>
      <c r="AJ217">
        <v>-362</v>
      </c>
      <c r="AK217">
        <v>2504</v>
      </c>
    </row>
    <row r="218" spans="1:37" x14ac:dyDescent="0.25">
      <c r="A218">
        <v>1</v>
      </c>
      <c r="B218">
        <v>0.6</v>
      </c>
      <c r="C218">
        <v>-1</v>
      </c>
      <c r="D218">
        <v>5033.625</v>
      </c>
      <c r="E218">
        <v>4747</v>
      </c>
      <c r="F218">
        <v>0</v>
      </c>
      <c r="G218">
        <v>70</v>
      </c>
      <c r="H218">
        <v>61</v>
      </c>
      <c r="I218">
        <v>-1</v>
      </c>
      <c r="J218">
        <v>-2</v>
      </c>
      <c r="K218">
        <v>-262</v>
      </c>
      <c r="L218">
        <v>3513</v>
      </c>
      <c r="T218">
        <v>20090324</v>
      </c>
      <c r="U218">
        <v>5201</v>
      </c>
      <c r="V218">
        <v>5270</v>
      </c>
      <c r="W218">
        <v>5188</v>
      </c>
      <c r="X218">
        <v>5262</v>
      </c>
      <c r="Y218">
        <v>99448</v>
      </c>
      <c r="Z218">
        <v>70</v>
      </c>
      <c r="AA218">
        <v>61</v>
      </c>
      <c r="AB218">
        <v>1</v>
      </c>
      <c r="AC218">
        <v>0.6</v>
      </c>
      <c r="AD218">
        <v>-1</v>
      </c>
      <c r="AE218">
        <v>5033.625</v>
      </c>
      <c r="AF218">
        <v>4747</v>
      </c>
      <c r="AG218">
        <v>0</v>
      </c>
      <c r="AH218">
        <v>-1</v>
      </c>
      <c r="AI218">
        <v>-2</v>
      </c>
      <c r="AJ218">
        <v>-262</v>
      </c>
      <c r="AK218">
        <v>2242</v>
      </c>
    </row>
    <row r="219" spans="1:37" x14ac:dyDescent="0.25">
      <c r="A219">
        <v>1</v>
      </c>
      <c r="B219">
        <v>0.6</v>
      </c>
      <c r="C219">
        <v>-1</v>
      </c>
      <c r="D219">
        <v>5091.125</v>
      </c>
      <c r="E219">
        <v>4791.7</v>
      </c>
      <c r="F219">
        <v>0</v>
      </c>
      <c r="G219">
        <v>-8</v>
      </c>
      <c r="H219">
        <v>106</v>
      </c>
      <c r="I219">
        <v>-1</v>
      </c>
      <c r="J219">
        <v>-2</v>
      </c>
      <c r="K219">
        <v>-196</v>
      </c>
      <c r="L219">
        <v>3317</v>
      </c>
      <c r="T219">
        <v>20090325</v>
      </c>
      <c r="U219">
        <v>5254</v>
      </c>
      <c r="V219">
        <v>5389</v>
      </c>
      <c r="W219">
        <v>5232</v>
      </c>
      <c r="X219">
        <v>5360</v>
      </c>
      <c r="Y219">
        <v>114159</v>
      </c>
      <c r="Z219">
        <v>-8</v>
      </c>
      <c r="AA219">
        <v>106</v>
      </c>
      <c r="AB219">
        <v>1</v>
      </c>
      <c r="AC219">
        <v>0.6</v>
      </c>
      <c r="AD219">
        <v>-1</v>
      </c>
      <c r="AE219">
        <v>5091.125</v>
      </c>
      <c r="AF219">
        <v>4791.7</v>
      </c>
      <c r="AG219">
        <v>0</v>
      </c>
      <c r="AH219">
        <v>-1</v>
      </c>
      <c r="AI219">
        <v>-2</v>
      </c>
      <c r="AJ219">
        <v>-196</v>
      </c>
      <c r="AK219">
        <v>2046</v>
      </c>
    </row>
    <row r="220" spans="1:37" x14ac:dyDescent="0.25">
      <c r="A220">
        <v>1</v>
      </c>
      <c r="B220">
        <v>0.7</v>
      </c>
      <c r="C220">
        <v>-1</v>
      </c>
      <c r="D220">
        <v>5144</v>
      </c>
      <c r="E220">
        <v>4837.1000000000004</v>
      </c>
      <c r="F220">
        <v>0</v>
      </c>
      <c r="G220">
        <v>-11</v>
      </c>
      <c r="H220">
        <v>36</v>
      </c>
      <c r="I220">
        <v>-1</v>
      </c>
      <c r="J220">
        <v>-2</v>
      </c>
      <c r="K220">
        <v>-50</v>
      </c>
      <c r="L220">
        <v>3267</v>
      </c>
      <c r="T220">
        <v>20090326</v>
      </c>
      <c r="U220">
        <v>5349</v>
      </c>
      <c r="V220">
        <v>5434</v>
      </c>
      <c r="W220">
        <v>5317</v>
      </c>
      <c r="X220">
        <v>5385</v>
      </c>
      <c r="Y220">
        <v>130866</v>
      </c>
      <c r="Z220">
        <v>-11</v>
      </c>
      <c r="AA220">
        <v>36</v>
      </c>
      <c r="AB220">
        <v>1</v>
      </c>
      <c r="AC220">
        <v>0.7</v>
      </c>
      <c r="AD220">
        <v>-1</v>
      </c>
      <c r="AE220">
        <v>5144</v>
      </c>
      <c r="AF220">
        <v>4837.1000000000004</v>
      </c>
      <c r="AG220">
        <v>0</v>
      </c>
      <c r="AH220">
        <v>-1</v>
      </c>
      <c r="AI220">
        <v>-2</v>
      </c>
      <c r="AJ220">
        <v>-50</v>
      </c>
      <c r="AK220">
        <v>1996</v>
      </c>
    </row>
    <row r="221" spans="1:37" x14ac:dyDescent="0.25">
      <c r="A221">
        <v>0</v>
      </c>
      <c r="B221">
        <v>0.6</v>
      </c>
      <c r="C221">
        <v>-1</v>
      </c>
      <c r="D221">
        <v>5181</v>
      </c>
      <c r="E221">
        <v>4879.25</v>
      </c>
      <c r="F221">
        <v>0</v>
      </c>
      <c r="G221">
        <v>49</v>
      </c>
      <c r="H221">
        <v>-81</v>
      </c>
      <c r="I221">
        <v>-1</v>
      </c>
      <c r="J221">
        <v>-2</v>
      </c>
      <c r="K221">
        <v>64</v>
      </c>
      <c r="L221">
        <v>3331</v>
      </c>
      <c r="T221">
        <v>20090327</v>
      </c>
      <c r="U221">
        <v>5434</v>
      </c>
      <c r="V221">
        <v>5454</v>
      </c>
      <c r="W221">
        <v>5336</v>
      </c>
      <c r="X221">
        <v>5353</v>
      </c>
      <c r="Y221">
        <v>110141</v>
      </c>
      <c r="Z221">
        <v>49</v>
      </c>
      <c r="AA221">
        <v>-81</v>
      </c>
      <c r="AB221">
        <v>0</v>
      </c>
      <c r="AC221">
        <v>0.6</v>
      </c>
      <c r="AD221">
        <v>-1</v>
      </c>
      <c r="AE221">
        <v>5181</v>
      </c>
      <c r="AF221">
        <v>4879.25</v>
      </c>
      <c r="AG221">
        <v>0</v>
      </c>
      <c r="AH221">
        <v>-1</v>
      </c>
      <c r="AI221">
        <v>-2</v>
      </c>
      <c r="AJ221">
        <v>64</v>
      </c>
      <c r="AK221">
        <v>2060</v>
      </c>
    </row>
    <row r="222" spans="1:37" x14ac:dyDescent="0.25">
      <c r="A222">
        <v>0</v>
      </c>
      <c r="B222">
        <v>0.5</v>
      </c>
      <c r="C222">
        <v>-1</v>
      </c>
      <c r="D222">
        <v>5199.5</v>
      </c>
      <c r="E222">
        <v>4921.45</v>
      </c>
      <c r="F222">
        <v>0</v>
      </c>
      <c r="G222">
        <v>-7</v>
      </c>
      <c r="H222">
        <v>-171</v>
      </c>
      <c r="I222">
        <v>-1</v>
      </c>
      <c r="J222">
        <v>-2</v>
      </c>
      <c r="K222">
        <v>356</v>
      </c>
      <c r="L222">
        <v>3687</v>
      </c>
      <c r="T222">
        <v>20090330</v>
      </c>
      <c r="U222">
        <v>5346</v>
      </c>
      <c r="V222">
        <v>5360</v>
      </c>
      <c r="W222">
        <v>5143</v>
      </c>
      <c r="X222">
        <v>5175</v>
      </c>
      <c r="Y222">
        <v>111477</v>
      </c>
      <c r="Z222">
        <v>-7</v>
      </c>
      <c r="AA222">
        <v>-171</v>
      </c>
      <c r="AB222">
        <v>0</v>
      </c>
      <c r="AC222">
        <v>0.5</v>
      </c>
      <c r="AD222">
        <v>0</v>
      </c>
      <c r="AE222">
        <v>5199.5</v>
      </c>
      <c r="AF222">
        <v>4921.45</v>
      </c>
      <c r="AG222">
        <v>0</v>
      </c>
      <c r="AH222">
        <v>0</v>
      </c>
      <c r="AI222">
        <v>-2</v>
      </c>
      <c r="AJ222">
        <v>356</v>
      </c>
      <c r="AK222">
        <v>2416</v>
      </c>
    </row>
    <row r="223" spans="1:37" x14ac:dyDescent="0.25">
      <c r="A223">
        <v>1</v>
      </c>
      <c r="B223">
        <v>0.5</v>
      </c>
      <c r="C223">
        <v>-1</v>
      </c>
      <c r="D223">
        <v>5227.125</v>
      </c>
      <c r="E223">
        <v>4963.1499999999996</v>
      </c>
      <c r="F223">
        <v>0</v>
      </c>
      <c r="G223">
        <v>50</v>
      </c>
      <c r="H223">
        <v>-24</v>
      </c>
      <c r="I223">
        <v>-1</v>
      </c>
      <c r="J223">
        <v>-2</v>
      </c>
      <c r="K223">
        <v>-52</v>
      </c>
      <c r="L223">
        <v>3635</v>
      </c>
      <c r="T223">
        <v>20090331</v>
      </c>
      <c r="U223">
        <v>5225</v>
      </c>
      <c r="V223">
        <v>5295</v>
      </c>
      <c r="W223">
        <v>5175</v>
      </c>
      <c r="X223">
        <v>5201</v>
      </c>
      <c r="Y223">
        <v>105619</v>
      </c>
      <c r="Z223">
        <v>50</v>
      </c>
      <c r="AA223">
        <v>-24</v>
      </c>
      <c r="AB223">
        <v>1</v>
      </c>
      <c r="AC223">
        <v>0.5</v>
      </c>
      <c r="AD223">
        <v>0</v>
      </c>
      <c r="AE223">
        <v>5227.125</v>
      </c>
      <c r="AF223">
        <v>4963.1499999999996</v>
      </c>
      <c r="AG223">
        <v>0</v>
      </c>
      <c r="AH223">
        <v>0</v>
      </c>
      <c r="AI223">
        <v>-2</v>
      </c>
      <c r="AJ223">
        <v>-52</v>
      </c>
      <c r="AK223">
        <v>2364</v>
      </c>
    </row>
    <row r="224" spans="1:37" x14ac:dyDescent="0.25">
      <c r="A224">
        <v>1</v>
      </c>
      <c r="B224">
        <v>0.6</v>
      </c>
      <c r="C224">
        <v>-1</v>
      </c>
      <c r="D224">
        <v>5272.625</v>
      </c>
      <c r="E224">
        <v>5003.3</v>
      </c>
      <c r="F224">
        <v>0</v>
      </c>
      <c r="G224">
        <v>27</v>
      </c>
      <c r="H224">
        <v>86</v>
      </c>
      <c r="I224">
        <v>-1</v>
      </c>
      <c r="J224">
        <v>-2</v>
      </c>
      <c r="K224">
        <v>-226</v>
      </c>
      <c r="L224">
        <v>3409</v>
      </c>
      <c r="T224">
        <v>20090401</v>
      </c>
      <c r="U224">
        <v>5228</v>
      </c>
      <c r="V224">
        <v>5344</v>
      </c>
      <c r="W224">
        <v>5222</v>
      </c>
      <c r="X224">
        <v>5314</v>
      </c>
      <c r="Y224">
        <v>135768</v>
      </c>
      <c r="Z224">
        <v>27</v>
      </c>
      <c r="AA224">
        <v>86</v>
      </c>
      <c r="AB224">
        <v>1</v>
      </c>
      <c r="AC224">
        <v>0.6</v>
      </c>
      <c r="AD224">
        <v>-1</v>
      </c>
      <c r="AE224">
        <v>5272.625</v>
      </c>
      <c r="AF224">
        <v>5003.3</v>
      </c>
      <c r="AG224">
        <v>0</v>
      </c>
      <c r="AH224">
        <v>-1</v>
      </c>
      <c r="AI224">
        <v>-2</v>
      </c>
      <c r="AJ224">
        <v>-226</v>
      </c>
      <c r="AK224">
        <v>2138</v>
      </c>
    </row>
    <row r="225" spans="1:37" x14ac:dyDescent="0.25">
      <c r="A225">
        <v>1</v>
      </c>
      <c r="B225">
        <v>0.7</v>
      </c>
      <c r="C225">
        <v>-1</v>
      </c>
      <c r="D225">
        <v>5320.125</v>
      </c>
      <c r="E225">
        <v>5049.1000000000004</v>
      </c>
      <c r="F225">
        <v>0</v>
      </c>
      <c r="G225">
        <v>86</v>
      </c>
      <c r="H225">
        <v>111</v>
      </c>
      <c r="I225">
        <v>-1</v>
      </c>
      <c r="J225">
        <v>-2</v>
      </c>
      <c r="K225">
        <v>-394</v>
      </c>
      <c r="L225">
        <v>3015</v>
      </c>
      <c r="T225">
        <v>20090402</v>
      </c>
      <c r="U225">
        <v>5400</v>
      </c>
      <c r="V225">
        <v>5517</v>
      </c>
      <c r="W225">
        <v>5400</v>
      </c>
      <c r="X225">
        <v>5511</v>
      </c>
      <c r="Y225">
        <v>115802</v>
      </c>
      <c r="Z225">
        <v>86</v>
      </c>
      <c r="AA225">
        <v>111</v>
      </c>
      <c r="AB225">
        <v>1</v>
      </c>
      <c r="AC225">
        <v>0.7</v>
      </c>
      <c r="AD225">
        <v>-1</v>
      </c>
      <c r="AE225">
        <v>5320.125</v>
      </c>
      <c r="AF225">
        <v>5049.1000000000004</v>
      </c>
      <c r="AG225">
        <v>0</v>
      </c>
      <c r="AH225">
        <v>-1</v>
      </c>
      <c r="AI225">
        <v>-2</v>
      </c>
      <c r="AJ225">
        <v>-394</v>
      </c>
      <c r="AK225">
        <v>1744</v>
      </c>
    </row>
    <row r="226" spans="1:37" x14ac:dyDescent="0.25">
      <c r="A226">
        <v>0</v>
      </c>
      <c r="B226">
        <v>0.7</v>
      </c>
      <c r="C226">
        <v>-1</v>
      </c>
      <c r="D226">
        <v>5351</v>
      </c>
      <c r="E226">
        <v>5093.1499999999996</v>
      </c>
      <c r="F226">
        <v>0</v>
      </c>
      <c r="G226">
        <v>51</v>
      </c>
      <c r="H226">
        <v>-53</v>
      </c>
      <c r="I226">
        <v>-1</v>
      </c>
      <c r="J226">
        <v>-2</v>
      </c>
      <c r="K226">
        <v>4</v>
      </c>
      <c r="L226">
        <v>3019</v>
      </c>
      <c r="T226">
        <v>20090403</v>
      </c>
      <c r="U226">
        <v>5562</v>
      </c>
      <c r="V226">
        <v>5567</v>
      </c>
      <c r="W226">
        <v>5475</v>
      </c>
      <c r="X226">
        <v>5509</v>
      </c>
      <c r="Y226">
        <v>103093</v>
      </c>
      <c r="Z226">
        <v>51</v>
      </c>
      <c r="AA226">
        <v>-53</v>
      </c>
      <c r="AB226">
        <v>0</v>
      </c>
      <c r="AC226">
        <v>0.7</v>
      </c>
      <c r="AD226">
        <v>-1</v>
      </c>
      <c r="AE226">
        <v>5351</v>
      </c>
      <c r="AF226">
        <v>5093.1499999999996</v>
      </c>
      <c r="AG226">
        <v>0</v>
      </c>
      <c r="AH226">
        <v>-1</v>
      </c>
      <c r="AI226">
        <v>-2</v>
      </c>
      <c r="AJ226">
        <v>4</v>
      </c>
      <c r="AK226">
        <v>1748</v>
      </c>
    </row>
    <row r="227" spans="1:37" x14ac:dyDescent="0.25">
      <c r="A227">
        <v>1</v>
      </c>
      <c r="B227">
        <v>0.7</v>
      </c>
      <c r="C227">
        <v>-1</v>
      </c>
      <c r="D227">
        <v>5371.625</v>
      </c>
      <c r="E227">
        <v>5138.2</v>
      </c>
      <c r="F227">
        <v>0</v>
      </c>
      <c r="G227">
        <v>51</v>
      </c>
      <c r="H227">
        <v>-35</v>
      </c>
      <c r="I227">
        <v>-1</v>
      </c>
      <c r="J227">
        <v>-2</v>
      </c>
      <c r="K227">
        <v>-32</v>
      </c>
      <c r="L227">
        <v>2987</v>
      </c>
      <c r="T227">
        <v>20090406</v>
      </c>
      <c r="U227">
        <v>5560</v>
      </c>
      <c r="V227">
        <v>5619</v>
      </c>
      <c r="W227">
        <v>5493</v>
      </c>
      <c r="X227">
        <v>5525</v>
      </c>
      <c r="Y227">
        <v>104797</v>
      </c>
      <c r="Z227">
        <v>51</v>
      </c>
      <c r="AA227">
        <v>-35</v>
      </c>
      <c r="AB227">
        <v>1</v>
      </c>
      <c r="AC227">
        <v>0.7</v>
      </c>
      <c r="AD227">
        <v>-1</v>
      </c>
      <c r="AE227">
        <v>5371.625</v>
      </c>
      <c r="AF227">
        <v>5138.2</v>
      </c>
      <c r="AG227">
        <v>0</v>
      </c>
      <c r="AH227">
        <v>-1</v>
      </c>
      <c r="AI227">
        <v>-2</v>
      </c>
      <c r="AJ227">
        <v>-32</v>
      </c>
      <c r="AK227">
        <v>1716</v>
      </c>
    </row>
    <row r="228" spans="1:37" x14ac:dyDescent="0.25">
      <c r="A228">
        <v>1</v>
      </c>
      <c r="B228">
        <v>0.7</v>
      </c>
      <c r="C228">
        <v>-1</v>
      </c>
      <c r="D228">
        <v>5396.375</v>
      </c>
      <c r="E228">
        <v>5184.55</v>
      </c>
      <c r="F228">
        <v>0</v>
      </c>
      <c r="G228">
        <v>-22</v>
      </c>
      <c r="H228">
        <v>80</v>
      </c>
      <c r="I228">
        <v>-1</v>
      </c>
      <c r="J228">
        <v>-2</v>
      </c>
      <c r="K228">
        <v>-116</v>
      </c>
      <c r="L228">
        <v>2871</v>
      </c>
      <c r="T228">
        <v>20090407</v>
      </c>
      <c r="U228">
        <v>5503</v>
      </c>
      <c r="V228">
        <v>5587</v>
      </c>
      <c r="W228">
        <v>5464</v>
      </c>
      <c r="X228">
        <v>5583</v>
      </c>
      <c r="Y228">
        <v>97719</v>
      </c>
      <c r="Z228">
        <v>-22</v>
      </c>
      <c r="AA228">
        <v>80</v>
      </c>
      <c r="AB228">
        <v>1</v>
      </c>
      <c r="AC228">
        <v>0.7</v>
      </c>
      <c r="AD228">
        <v>-1</v>
      </c>
      <c r="AE228">
        <v>5396.375</v>
      </c>
      <c r="AF228">
        <v>5184.55</v>
      </c>
      <c r="AG228">
        <v>0</v>
      </c>
      <c r="AH228">
        <v>-1</v>
      </c>
      <c r="AI228">
        <v>-2</v>
      </c>
      <c r="AJ228">
        <v>-116</v>
      </c>
      <c r="AK228">
        <v>1600</v>
      </c>
    </row>
    <row r="229" spans="1:37" x14ac:dyDescent="0.25">
      <c r="A229">
        <v>0</v>
      </c>
      <c r="B229">
        <v>0.6</v>
      </c>
      <c r="C229">
        <v>-1</v>
      </c>
      <c r="D229">
        <v>5409.25</v>
      </c>
      <c r="E229">
        <v>5219.45</v>
      </c>
      <c r="F229">
        <v>0</v>
      </c>
      <c r="G229">
        <v>-82</v>
      </c>
      <c r="H229">
        <v>-45</v>
      </c>
      <c r="I229">
        <v>-1</v>
      </c>
      <c r="J229">
        <v>-2</v>
      </c>
      <c r="K229">
        <v>254</v>
      </c>
      <c r="L229">
        <v>3125</v>
      </c>
      <c r="T229">
        <v>20090408</v>
      </c>
      <c r="U229">
        <v>5501</v>
      </c>
      <c r="V229">
        <v>5583</v>
      </c>
      <c r="W229">
        <v>5416</v>
      </c>
      <c r="X229">
        <v>5456</v>
      </c>
      <c r="Y229">
        <v>134258</v>
      </c>
      <c r="Z229">
        <v>-82</v>
      </c>
      <c r="AA229">
        <v>-45</v>
      </c>
      <c r="AB229">
        <v>0</v>
      </c>
      <c r="AC229">
        <v>0.6</v>
      </c>
      <c r="AD229">
        <v>-1</v>
      </c>
      <c r="AE229">
        <v>5409.25</v>
      </c>
      <c r="AF229">
        <v>5219.45</v>
      </c>
      <c r="AG229">
        <v>0</v>
      </c>
      <c r="AH229">
        <v>-1</v>
      </c>
      <c r="AI229">
        <v>-2</v>
      </c>
      <c r="AJ229">
        <v>254</v>
      </c>
      <c r="AK229">
        <v>1854</v>
      </c>
    </row>
    <row r="230" spans="1:37" x14ac:dyDescent="0.25">
      <c r="A230">
        <v>1</v>
      </c>
      <c r="B230">
        <v>0.6</v>
      </c>
      <c r="C230">
        <v>-1</v>
      </c>
      <c r="D230">
        <v>5476.375</v>
      </c>
      <c r="E230">
        <v>5267.65</v>
      </c>
      <c r="F230">
        <v>0</v>
      </c>
      <c r="G230">
        <v>82</v>
      </c>
      <c r="H230">
        <v>174</v>
      </c>
      <c r="I230">
        <v>-1</v>
      </c>
      <c r="J230">
        <v>-2</v>
      </c>
      <c r="K230">
        <v>-512</v>
      </c>
      <c r="L230">
        <v>2613</v>
      </c>
      <c r="T230">
        <v>20090409</v>
      </c>
      <c r="U230">
        <v>5538</v>
      </c>
      <c r="V230">
        <v>5718</v>
      </c>
      <c r="W230">
        <v>5525</v>
      </c>
      <c r="X230">
        <v>5712</v>
      </c>
      <c r="Y230">
        <v>112212</v>
      </c>
      <c r="Z230">
        <v>82</v>
      </c>
      <c r="AA230">
        <v>174</v>
      </c>
      <c r="AB230">
        <v>1</v>
      </c>
      <c r="AC230">
        <v>0.6</v>
      </c>
      <c r="AD230">
        <v>-1</v>
      </c>
      <c r="AE230">
        <v>5476.375</v>
      </c>
      <c r="AF230">
        <v>5267.65</v>
      </c>
      <c r="AG230">
        <v>0</v>
      </c>
      <c r="AH230">
        <v>-1</v>
      </c>
      <c r="AI230">
        <v>-2</v>
      </c>
      <c r="AJ230">
        <v>-512</v>
      </c>
      <c r="AK230">
        <v>1342</v>
      </c>
    </row>
    <row r="231" spans="1:37" x14ac:dyDescent="0.25">
      <c r="A231">
        <v>1</v>
      </c>
      <c r="B231">
        <v>0.7</v>
      </c>
      <c r="C231">
        <v>-1</v>
      </c>
      <c r="D231">
        <v>5554.625</v>
      </c>
      <c r="E231">
        <v>5314</v>
      </c>
      <c r="F231">
        <v>0</v>
      </c>
      <c r="G231">
        <v>50</v>
      </c>
      <c r="H231">
        <v>65</v>
      </c>
      <c r="I231">
        <v>-1</v>
      </c>
      <c r="J231">
        <v>-2</v>
      </c>
      <c r="K231">
        <v>-230</v>
      </c>
      <c r="L231">
        <v>2383</v>
      </c>
      <c r="T231">
        <v>20090410</v>
      </c>
      <c r="U231">
        <v>5762</v>
      </c>
      <c r="V231">
        <v>5830</v>
      </c>
      <c r="W231">
        <v>5696</v>
      </c>
      <c r="X231">
        <v>5827</v>
      </c>
      <c r="Y231">
        <v>125751</v>
      </c>
      <c r="Z231">
        <v>50</v>
      </c>
      <c r="AA231">
        <v>65</v>
      </c>
      <c r="AB231">
        <v>1</v>
      </c>
      <c r="AC231">
        <v>0.7</v>
      </c>
      <c r="AD231">
        <v>-1</v>
      </c>
      <c r="AE231">
        <v>5554.625</v>
      </c>
      <c r="AF231">
        <v>5314</v>
      </c>
      <c r="AG231">
        <v>0</v>
      </c>
      <c r="AH231">
        <v>-1</v>
      </c>
      <c r="AI231">
        <v>-2</v>
      </c>
      <c r="AJ231">
        <v>-230</v>
      </c>
      <c r="AK231">
        <v>1112</v>
      </c>
    </row>
    <row r="232" spans="1:37" x14ac:dyDescent="0.25">
      <c r="A232">
        <v>1</v>
      </c>
      <c r="B232">
        <v>0.8</v>
      </c>
      <c r="C232">
        <v>-1</v>
      </c>
      <c r="D232">
        <v>5621.125</v>
      </c>
      <c r="E232">
        <v>5358.2</v>
      </c>
      <c r="F232">
        <v>0</v>
      </c>
      <c r="G232">
        <v>8</v>
      </c>
      <c r="H232">
        <v>11</v>
      </c>
      <c r="I232">
        <v>-1</v>
      </c>
      <c r="J232">
        <v>-2</v>
      </c>
      <c r="K232">
        <v>-38</v>
      </c>
      <c r="L232">
        <v>2345</v>
      </c>
      <c r="T232">
        <v>20090413</v>
      </c>
      <c r="U232">
        <v>5835</v>
      </c>
      <c r="V232">
        <v>5876</v>
      </c>
      <c r="W232">
        <v>5786</v>
      </c>
      <c r="X232">
        <v>5846</v>
      </c>
      <c r="Y232">
        <v>106059</v>
      </c>
      <c r="Z232">
        <v>8</v>
      </c>
      <c r="AA232">
        <v>11</v>
      </c>
      <c r="AB232">
        <v>1</v>
      </c>
      <c r="AC232">
        <v>0.8</v>
      </c>
      <c r="AD232">
        <v>-1</v>
      </c>
      <c r="AE232">
        <v>5621.125</v>
      </c>
      <c r="AF232">
        <v>5358.2</v>
      </c>
      <c r="AG232">
        <v>0</v>
      </c>
      <c r="AH232">
        <v>-1</v>
      </c>
      <c r="AI232">
        <v>-2</v>
      </c>
      <c r="AJ232">
        <v>-38</v>
      </c>
      <c r="AK232">
        <v>1074</v>
      </c>
    </row>
    <row r="233" spans="1:37" x14ac:dyDescent="0.25">
      <c r="A233">
        <v>1</v>
      </c>
      <c r="B233">
        <v>0.8</v>
      </c>
      <c r="C233">
        <v>-1</v>
      </c>
      <c r="D233">
        <v>5664.5</v>
      </c>
      <c r="E233">
        <v>5398.25</v>
      </c>
      <c r="F233">
        <v>0</v>
      </c>
      <c r="G233">
        <v>-21</v>
      </c>
      <c r="H233">
        <v>33</v>
      </c>
      <c r="I233">
        <v>-1</v>
      </c>
      <c r="J233">
        <v>-2</v>
      </c>
      <c r="K233">
        <v>-24</v>
      </c>
      <c r="L233">
        <v>2321</v>
      </c>
      <c r="T233">
        <v>20090414</v>
      </c>
      <c r="U233">
        <v>5825</v>
      </c>
      <c r="V233">
        <v>5901</v>
      </c>
      <c r="W233">
        <v>5785</v>
      </c>
      <c r="X233">
        <v>5858</v>
      </c>
      <c r="Y233">
        <v>101268</v>
      </c>
      <c r="Z233">
        <v>-21</v>
      </c>
      <c r="AA233">
        <v>33</v>
      </c>
      <c r="AB233">
        <v>1</v>
      </c>
      <c r="AC233">
        <v>0.8</v>
      </c>
      <c r="AD233">
        <v>-1</v>
      </c>
      <c r="AE233">
        <v>5664.5</v>
      </c>
      <c r="AF233">
        <v>5398.25</v>
      </c>
      <c r="AG233">
        <v>0</v>
      </c>
      <c r="AH233">
        <v>-1</v>
      </c>
      <c r="AI233">
        <v>-2</v>
      </c>
      <c r="AJ233">
        <v>-24</v>
      </c>
      <c r="AK233">
        <v>1050</v>
      </c>
    </row>
    <row r="234" spans="1:37" x14ac:dyDescent="0.25">
      <c r="A234">
        <v>1</v>
      </c>
      <c r="B234">
        <v>0.8</v>
      </c>
      <c r="C234">
        <v>-1</v>
      </c>
      <c r="D234">
        <v>5708.25</v>
      </c>
      <c r="E234">
        <v>5439.85</v>
      </c>
      <c r="F234">
        <v>0</v>
      </c>
      <c r="G234">
        <v>-58</v>
      </c>
      <c r="H234">
        <v>59</v>
      </c>
      <c r="I234">
        <v>-1</v>
      </c>
      <c r="J234">
        <v>-2</v>
      </c>
      <c r="K234">
        <v>-2</v>
      </c>
      <c r="L234">
        <v>2319</v>
      </c>
      <c r="T234">
        <v>20090415</v>
      </c>
      <c r="U234">
        <v>5800</v>
      </c>
      <c r="V234">
        <v>5875</v>
      </c>
      <c r="W234">
        <v>5769</v>
      </c>
      <c r="X234">
        <v>5859</v>
      </c>
      <c r="Y234">
        <v>61857</v>
      </c>
      <c r="Z234">
        <v>-58</v>
      </c>
      <c r="AA234">
        <v>59</v>
      </c>
      <c r="AB234">
        <v>1</v>
      </c>
      <c r="AC234">
        <v>0.8</v>
      </c>
      <c r="AD234">
        <v>-1</v>
      </c>
      <c r="AE234">
        <v>5708.25</v>
      </c>
      <c r="AF234">
        <v>5439.85</v>
      </c>
      <c r="AG234">
        <v>0</v>
      </c>
      <c r="AH234">
        <v>-1</v>
      </c>
      <c r="AI234">
        <v>-2</v>
      </c>
      <c r="AJ234">
        <v>-2</v>
      </c>
      <c r="AK234">
        <v>1048</v>
      </c>
    </row>
    <row r="235" spans="1:37" x14ac:dyDescent="0.25">
      <c r="A235">
        <v>1</v>
      </c>
      <c r="B235">
        <v>0.8</v>
      </c>
      <c r="C235">
        <v>-1</v>
      </c>
      <c r="D235">
        <v>5766.875</v>
      </c>
      <c r="E235">
        <v>5490.55</v>
      </c>
      <c r="F235">
        <v>0</v>
      </c>
      <c r="G235">
        <v>140</v>
      </c>
      <c r="H235">
        <v>-5</v>
      </c>
      <c r="I235">
        <v>-1</v>
      </c>
      <c r="J235">
        <v>-2</v>
      </c>
      <c r="K235">
        <v>-270</v>
      </c>
      <c r="L235">
        <v>2049</v>
      </c>
      <c r="T235">
        <v>20090416</v>
      </c>
      <c r="U235">
        <v>5999</v>
      </c>
      <c r="V235">
        <v>6047</v>
      </c>
      <c r="W235">
        <v>5950</v>
      </c>
      <c r="X235">
        <v>5994</v>
      </c>
      <c r="Y235">
        <v>112920</v>
      </c>
      <c r="Z235">
        <v>140</v>
      </c>
      <c r="AA235">
        <v>-5</v>
      </c>
      <c r="AB235">
        <v>1</v>
      </c>
      <c r="AC235">
        <v>0.8</v>
      </c>
      <c r="AD235">
        <v>-1</v>
      </c>
      <c r="AE235">
        <v>5766.875</v>
      </c>
      <c r="AF235">
        <v>5490.55</v>
      </c>
      <c r="AG235">
        <v>0</v>
      </c>
      <c r="AH235">
        <v>-1</v>
      </c>
      <c r="AI235">
        <v>-2</v>
      </c>
      <c r="AJ235">
        <v>-270</v>
      </c>
      <c r="AK235">
        <v>778</v>
      </c>
    </row>
    <row r="236" spans="1:37" x14ac:dyDescent="0.25">
      <c r="A236">
        <v>0</v>
      </c>
      <c r="B236">
        <v>0.8</v>
      </c>
      <c r="C236">
        <v>-1</v>
      </c>
      <c r="D236">
        <v>5790.875</v>
      </c>
      <c r="E236">
        <v>5531.8</v>
      </c>
      <c r="F236">
        <v>0</v>
      </c>
      <c r="G236">
        <v>52</v>
      </c>
      <c r="H236">
        <v>-271</v>
      </c>
      <c r="I236">
        <v>-1</v>
      </c>
      <c r="J236">
        <v>-2</v>
      </c>
      <c r="K236">
        <v>438</v>
      </c>
      <c r="L236">
        <v>2487</v>
      </c>
      <c r="T236">
        <v>20090417</v>
      </c>
      <c r="U236">
        <v>6046</v>
      </c>
      <c r="V236">
        <v>6060</v>
      </c>
      <c r="W236">
        <v>5684</v>
      </c>
      <c r="X236">
        <v>5775</v>
      </c>
      <c r="Y236">
        <v>149893</v>
      </c>
      <c r="Z236">
        <v>52</v>
      </c>
      <c r="AA236">
        <v>-271</v>
      </c>
      <c r="AB236">
        <v>0</v>
      </c>
      <c r="AC236">
        <v>0.8</v>
      </c>
      <c r="AD236">
        <v>-1</v>
      </c>
      <c r="AE236">
        <v>5790.875</v>
      </c>
      <c r="AF236">
        <v>5531.8</v>
      </c>
      <c r="AG236">
        <v>0</v>
      </c>
      <c r="AH236">
        <v>-1</v>
      </c>
      <c r="AI236">
        <v>-2</v>
      </c>
      <c r="AJ236">
        <v>438</v>
      </c>
      <c r="AK236">
        <v>1216</v>
      </c>
    </row>
    <row r="237" spans="1:37" x14ac:dyDescent="0.25">
      <c r="A237">
        <v>0</v>
      </c>
      <c r="B237">
        <v>0.7</v>
      </c>
      <c r="C237">
        <v>-1</v>
      </c>
      <c r="D237">
        <v>5829.5</v>
      </c>
      <c r="E237">
        <v>5563.5</v>
      </c>
      <c r="F237">
        <v>0</v>
      </c>
      <c r="G237">
        <v>-3</v>
      </c>
      <c r="H237">
        <v>-7</v>
      </c>
      <c r="I237">
        <v>-1</v>
      </c>
      <c r="J237">
        <v>-2</v>
      </c>
      <c r="K237">
        <v>20</v>
      </c>
      <c r="L237">
        <v>2507</v>
      </c>
      <c r="T237">
        <v>20090420</v>
      </c>
      <c r="U237">
        <v>5772</v>
      </c>
      <c r="V237">
        <v>5815</v>
      </c>
      <c r="W237">
        <v>5668</v>
      </c>
      <c r="X237">
        <v>5765</v>
      </c>
      <c r="Y237">
        <v>128609</v>
      </c>
      <c r="Z237">
        <v>-3</v>
      </c>
      <c r="AA237">
        <v>-7</v>
      </c>
      <c r="AB237">
        <v>0</v>
      </c>
      <c r="AC237">
        <v>0.7</v>
      </c>
      <c r="AD237">
        <v>-1</v>
      </c>
      <c r="AE237">
        <v>5829.5</v>
      </c>
      <c r="AF237">
        <v>5563.5</v>
      </c>
      <c r="AG237">
        <v>0</v>
      </c>
      <c r="AH237">
        <v>-1</v>
      </c>
      <c r="AI237">
        <v>-2</v>
      </c>
      <c r="AJ237">
        <v>20</v>
      </c>
      <c r="AK237">
        <v>1236</v>
      </c>
    </row>
    <row r="238" spans="1:37" x14ac:dyDescent="0.25">
      <c r="A238">
        <v>1</v>
      </c>
      <c r="B238">
        <v>0.7</v>
      </c>
      <c r="C238">
        <v>-1</v>
      </c>
      <c r="D238">
        <v>5852.5</v>
      </c>
      <c r="E238">
        <v>5595.2</v>
      </c>
      <c r="F238">
        <v>0</v>
      </c>
      <c r="G238">
        <v>-98</v>
      </c>
      <c r="H238">
        <v>229</v>
      </c>
      <c r="I238">
        <v>-1</v>
      </c>
      <c r="J238">
        <v>-2</v>
      </c>
      <c r="K238">
        <v>-262</v>
      </c>
      <c r="L238">
        <v>2245</v>
      </c>
      <c r="T238">
        <v>20090421</v>
      </c>
      <c r="U238">
        <v>5667</v>
      </c>
      <c r="V238">
        <v>5899</v>
      </c>
      <c r="W238">
        <v>5654</v>
      </c>
      <c r="X238">
        <v>5896</v>
      </c>
      <c r="Y238">
        <v>131984</v>
      </c>
      <c r="Z238">
        <v>-98</v>
      </c>
      <c r="AA238">
        <v>229</v>
      </c>
      <c r="AB238">
        <v>1</v>
      </c>
      <c r="AC238">
        <v>0.7</v>
      </c>
      <c r="AD238">
        <v>-1</v>
      </c>
      <c r="AE238">
        <v>5852.5</v>
      </c>
      <c r="AF238">
        <v>5595.2</v>
      </c>
      <c r="AG238">
        <v>0</v>
      </c>
      <c r="AH238">
        <v>-1</v>
      </c>
      <c r="AI238">
        <v>-2</v>
      </c>
      <c r="AJ238">
        <v>-262</v>
      </c>
      <c r="AK238">
        <v>974</v>
      </c>
    </row>
    <row r="239" spans="1:37" x14ac:dyDescent="0.25">
      <c r="A239">
        <v>0</v>
      </c>
      <c r="B239">
        <v>0.7</v>
      </c>
      <c r="C239">
        <v>-1</v>
      </c>
      <c r="D239">
        <v>5855</v>
      </c>
      <c r="E239">
        <v>5619.55</v>
      </c>
      <c r="F239">
        <v>0</v>
      </c>
      <c r="G239">
        <v>-31</v>
      </c>
      <c r="H239">
        <v>-18</v>
      </c>
      <c r="I239">
        <v>-1</v>
      </c>
      <c r="J239">
        <v>-2</v>
      </c>
      <c r="K239">
        <v>98</v>
      </c>
      <c r="L239">
        <v>2343</v>
      </c>
      <c r="T239">
        <v>20090422</v>
      </c>
      <c r="U239">
        <v>5865</v>
      </c>
      <c r="V239">
        <v>5928</v>
      </c>
      <c r="W239">
        <v>5833</v>
      </c>
      <c r="X239">
        <v>5847</v>
      </c>
      <c r="Y239">
        <v>115853</v>
      </c>
      <c r="Z239">
        <v>-31</v>
      </c>
      <c r="AA239">
        <v>-18</v>
      </c>
      <c r="AB239">
        <v>0</v>
      </c>
      <c r="AC239">
        <v>0.7</v>
      </c>
      <c r="AD239">
        <v>-1</v>
      </c>
      <c r="AE239">
        <v>5855</v>
      </c>
      <c r="AF239">
        <v>5619.55</v>
      </c>
      <c r="AG239">
        <v>0</v>
      </c>
      <c r="AH239">
        <v>-1</v>
      </c>
      <c r="AI239">
        <v>-2</v>
      </c>
      <c r="AJ239">
        <v>98</v>
      </c>
      <c r="AK239">
        <v>1072</v>
      </c>
    </row>
    <row r="240" spans="1:37" x14ac:dyDescent="0.25">
      <c r="A240">
        <v>1</v>
      </c>
      <c r="B240">
        <v>0.7</v>
      </c>
      <c r="C240">
        <v>-1</v>
      </c>
      <c r="D240">
        <v>5861.875</v>
      </c>
      <c r="E240">
        <v>5645.35</v>
      </c>
      <c r="F240">
        <v>0</v>
      </c>
      <c r="G240">
        <v>23</v>
      </c>
      <c r="H240">
        <v>31</v>
      </c>
      <c r="I240">
        <v>-1</v>
      </c>
      <c r="J240">
        <v>-2</v>
      </c>
      <c r="K240">
        <v>-108</v>
      </c>
      <c r="L240">
        <v>2235</v>
      </c>
      <c r="T240">
        <v>20090423</v>
      </c>
      <c r="U240">
        <v>5870</v>
      </c>
      <c r="V240">
        <v>5906</v>
      </c>
      <c r="W240">
        <v>5755</v>
      </c>
      <c r="X240">
        <v>5901</v>
      </c>
      <c r="Y240">
        <v>138403</v>
      </c>
      <c r="Z240">
        <v>23</v>
      </c>
      <c r="AA240">
        <v>31</v>
      </c>
      <c r="AB240">
        <v>1</v>
      </c>
      <c r="AC240">
        <v>0.7</v>
      </c>
      <c r="AD240">
        <v>-1</v>
      </c>
      <c r="AE240">
        <v>5861.875</v>
      </c>
      <c r="AF240">
        <v>5645.35</v>
      </c>
      <c r="AG240">
        <v>0</v>
      </c>
      <c r="AH240">
        <v>-1</v>
      </c>
      <c r="AI240">
        <v>-2</v>
      </c>
      <c r="AJ240">
        <v>-108</v>
      </c>
      <c r="AK240">
        <v>964</v>
      </c>
    </row>
    <row r="241" spans="1:37" x14ac:dyDescent="0.25">
      <c r="A241">
        <v>1</v>
      </c>
      <c r="B241">
        <v>0.7</v>
      </c>
      <c r="C241">
        <v>-1</v>
      </c>
      <c r="D241">
        <v>5867.625</v>
      </c>
      <c r="E241">
        <v>5672.9</v>
      </c>
      <c r="F241">
        <v>0</v>
      </c>
      <c r="G241">
        <v>14</v>
      </c>
      <c r="H241">
        <v>-11</v>
      </c>
      <c r="I241">
        <v>-1</v>
      </c>
      <c r="J241">
        <v>-2</v>
      </c>
      <c r="K241">
        <v>-6</v>
      </c>
      <c r="L241">
        <v>2229</v>
      </c>
      <c r="T241">
        <v>20090424</v>
      </c>
      <c r="U241">
        <v>5915</v>
      </c>
      <c r="V241">
        <v>5998</v>
      </c>
      <c r="W241">
        <v>5791</v>
      </c>
      <c r="X241">
        <v>5904</v>
      </c>
      <c r="Y241">
        <v>146115</v>
      </c>
      <c r="Z241">
        <v>14</v>
      </c>
      <c r="AA241">
        <v>-11</v>
      </c>
      <c r="AB241">
        <v>1</v>
      </c>
      <c r="AC241">
        <v>0.7</v>
      </c>
      <c r="AD241">
        <v>-1</v>
      </c>
      <c r="AE241">
        <v>5867.625</v>
      </c>
      <c r="AF241">
        <v>5672.9</v>
      </c>
      <c r="AG241">
        <v>0</v>
      </c>
      <c r="AH241">
        <v>-1</v>
      </c>
      <c r="AI241">
        <v>-2</v>
      </c>
      <c r="AJ241">
        <v>-6</v>
      </c>
      <c r="AK241">
        <v>958</v>
      </c>
    </row>
    <row r="242" spans="1:37" x14ac:dyDescent="0.25">
      <c r="A242">
        <v>0</v>
      </c>
      <c r="B242">
        <v>0.6</v>
      </c>
      <c r="C242">
        <v>-1</v>
      </c>
      <c r="D242">
        <v>5849</v>
      </c>
      <c r="E242">
        <v>5699.65</v>
      </c>
      <c r="F242">
        <v>0</v>
      </c>
      <c r="G242">
        <v>26</v>
      </c>
      <c r="H242">
        <v>-220</v>
      </c>
      <c r="I242">
        <v>-1</v>
      </c>
      <c r="J242">
        <v>-2</v>
      </c>
      <c r="K242">
        <v>388</v>
      </c>
      <c r="L242">
        <v>2617</v>
      </c>
      <c r="T242">
        <v>20090427</v>
      </c>
      <c r="U242">
        <v>5930</v>
      </c>
      <c r="V242">
        <v>5950</v>
      </c>
      <c r="W242">
        <v>5676</v>
      </c>
      <c r="X242">
        <v>5710</v>
      </c>
      <c r="Y242">
        <v>147666</v>
      </c>
      <c r="Z242">
        <v>26</v>
      </c>
      <c r="AA242">
        <v>-220</v>
      </c>
      <c r="AB242">
        <v>0</v>
      </c>
      <c r="AC242">
        <v>0.6</v>
      </c>
      <c r="AD242">
        <v>-1</v>
      </c>
      <c r="AE242">
        <v>5849</v>
      </c>
      <c r="AF242">
        <v>5699.65</v>
      </c>
      <c r="AG242">
        <v>0</v>
      </c>
      <c r="AH242">
        <v>-1</v>
      </c>
      <c r="AI242">
        <v>-2</v>
      </c>
      <c r="AJ242">
        <v>388</v>
      </c>
      <c r="AK242">
        <v>1346</v>
      </c>
    </row>
    <row r="243" spans="1:37" x14ac:dyDescent="0.25">
      <c r="A243">
        <v>0</v>
      </c>
      <c r="B243">
        <v>0.5</v>
      </c>
      <c r="C243">
        <v>-1</v>
      </c>
      <c r="D243">
        <v>5797.25</v>
      </c>
      <c r="E243">
        <v>5718.6</v>
      </c>
      <c r="F243">
        <v>0</v>
      </c>
      <c r="G243">
        <v>56</v>
      </c>
      <c r="H243">
        <v>-186</v>
      </c>
      <c r="I243">
        <v>-1</v>
      </c>
      <c r="J243">
        <v>-2</v>
      </c>
      <c r="K243">
        <v>260</v>
      </c>
      <c r="L243">
        <v>2877</v>
      </c>
      <c r="T243">
        <v>20090428</v>
      </c>
      <c r="U243">
        <v>5766</v>
      </c>
      <c r="V243">
        <v>5784</v>
      </c>
      <c r="W243">
        <v>5576</v>
      </c>
      <c r="X243">
        <v>5580</v>
      </c>
      <c r="Y243">
        <v>159400</v>
      </c>
      <c r="Z243">
        <v>56</v>
      </c>
      <c r="AA243">
        <v>-186</v>
      </c>
      <c r="AB243">
        <v>0</v>
      </c>
      <c r="AC243">
        <v>0.5</v>
      </c>
      <c r="AD243">
        <v>0</v>
      </c>
      <c r="AE243">
        <v>5797.25</v>
      </c>
      <c r="AF243">
        <v>5718.6</v>
      </c>
      <c r="AG243">
        <v>0</v>
      </c>
      <c r="AH243">
        <v>0</v>
      </c>
      <c r="AI243">
        <v>-2</v>
      </c>
      <c r="AJ243">
        <v>260</v>
      </c>
      <c r="AK243">
        <v>1606</v>
      </c>
    </row>
    <row r="244" spans="1:37" x14ac:dyDescent="0.25">
      <c r="A244">
        <v>1</v>
      </c>
      <c r="B244">
        <v>0.5</v>
      </c>
      <c r="C244">
        <v>-1</v>
      </c>
      <c r="D244">
        <v>5778.25</v>
      </c>
      <c r="E244">
        <v>5734.05</v>
      </c>
      <c r="F244">
        <v>0</v>
      </c>
      <c r="G244">
        <v>68</v>
      </c>
      <c r="H244">
        <v>-25</v>
      </c>
      <c r="I244">
        <v>-1</v>
      </c>
      <c r="J244">
        <v>-2</v>
      </c>
      <c r="K244">
        <v>-86</v>
      </c>
      <c r="L244">
        <v>2791</v>
      </c>
      <c r="T244">
        <v>20090429</v>
      </c>
      <c r="U244">
        <v>5648</v>
      </c>
      <c r="V244">
        <v>5664</v>
      </c>
      <c r="W244">
        <v>5584</v>
      </c>
      <c r="X244">
        <v>5623</v>
      </c>
      <c r="Y244">
        <v>109574</v>
      </c>
      <c r="Z244">
        <v>68</v>
      </c>
      <c r="AA244">
        <v>-25</v>
      </c>
      <c r="AB244">
        <v>1</v>
      </c>
      <c r="AC244">
        <v>0.5</v>
      </c>
      <c r="AD244">
        <v>0</v>
      </c>
      <c r="AE244">
        <v>5778.25</v>
      </c>
      <c r="AF244">
        <v>5734.05</v>
      </c>
      <c r="AG244">
        <v>0</v>
      </c>
      <c r="AH244">
        <v>0</v>
      </c>
      <c r="AI244">
        <v>-2</v>
      </c>
      <c r="AJ244">
        <v>-86</v>
      </c>
      <c r="AK244">
        <v>1520</v>
      </c>
    </row>
    <row r="245" spans="1:37" x14ac:dyDescent="0.25">
      <c r="A245">
        <v>1</v>
      </c>
      <c r="B245">
        <v>0.5</v>
      </c>
      <c r="C245">
        <v>-1</v>
      </c>
      <c r="D245">
        <v>5809.5</v>
      </c>
      <c r="E245">
        <v>5759.25</v>
      </c>
      <c r="F245">
        <v>0</v>
      </c>
      <c r="G245">
        <v>392</v>
      </c>
      <c r="H245">
        <v>0</v>
      </c>
      <c r="I245">
        <v>-1</v>
      </c>
      <c r="J245">
        <v>-2</v>
      </c>
      <c r="K245">
        <v>-784</v>
      </c>
      <c r="L245">
        <v>2007</v>
      </c>
      <c r="T245">
        <v>20090430</v>
      </c>
      <c r="U245">
        <v>6015</v>
      </c>
      <c r="V245">
        <v>6015</v>
      </c>
      <c r="W245">
        <v>5995</v>
      </c>
      <c r="X245">
        <v>6015</v>
      </c>
      <c r="Y245">
        <v>29279</v>
      </c>
      <c r="Z245">
        <v>392</v>
      </c>
      <c r="AA245">
        <v>0</v>
      </c>
      <c r="AB245">
        <v>1</v>
      </c>
      <c r="AC245">
        <v>0.5</v>
      </c>
      <c r="AD245">
        <v>0</v>
      </c>
      <c r="AE245">
        <v>5809.5</v>
      </c>
      <c r="AF245">
        <v>5759.25</v>
      </c>
      <c r="AG245">
        <v>0</v>
      </c>
      <c r="AH245">
        <v>0</v>
      </c>
      <c r="AI245">
        <v>-2</v>
      </c>
      <c r="AJ245">
        <v>-784</v>
      </c>
      <c r="AK245">
        <v>736</v>
      </c>
    </row>
    <row r="246" spans="1:37" x14ac:dyDescent="0.25">
      <c r="A246">
        <v>1</v>
      </c>
      <c r="B246">
        <v>0.6</v>
      </c>
      <c r="C246">
        <v>-1</v>
      </c>
      <c r="D246">
        <v>5877</v>
      </c>
      <c r="E246">
        <v>5805.6</v>
      </c>
      <c r="F246">
        <v>0</v>
      </c>
      <c r="G246">
        <v>348</v>
      </c>
      <c r="H246">
        <v>73</v>
      </c>
      <c r="I246">
        <v>-1</v>
      </c>
      <c r="J246">
        <v>-2</v>
      </c>
      <c r="K246">
        <v>-842</v>
      </c>
      <c r="L246">
        <v>1165</v>
      </c>
      <c r="T246">
        <v>20090504</v>
      </c>
      <c r="U246">
        <v>6363</v>
      </c>
      <c r="V246">
        <v>6436</v>
      </c>
      <c r="W246">
        <v>6301</v>
      </c>
      <c r="X246">
        <v>6436</v>
      </c>
      <c r="Y246">
        <v>39606</v>
      </c>
      <c r="Z246">
        <v>348</v>
      </c>
      <c r="AA246">
        <v>73</v>
      </c>
      <c r="AB246">
        <v>1</v>
      </c>
      <c r="AC246">
        <v>0.6</v>
      </c>
      <c r="AD246">
        <v>-1</v>
      </c>
      <c r="AE246">
        <v>5877</v>
      </c>
      <c r="AF246">
        <v>5805.6</v>
      </c>
      <c r="AG246">
        <v>0</v>
      </c>
      <c r="AH246">
        <v>-1</v>
      </c>
      <c r="AI246">
        <v>-2</v>
      </c>
      <c r="AJ246">
        <v>-842</v>
      </c>
      <c r="AK246">
        <v>-106</v>
      </c>
    </row>
    <row r="247" spans="1:37" x14ac:dyDescent="0.25">
      <c r="A247">
        <v>1</v>
      </c>
      <c r="B247">
        <v>0.7</v>
      </c>
      <c r="C247">
        <v>-1</v>
      </c>
      <c r="D247">
        <v>5963.875</v>
      </c>
      <c r="E247">
        <v>5856.45</v>
      </c>
      <c r="F247">
        <v>0</v>
      </c>
      <c r="G247">
        <v>201</v>
      </c>
      <c r="H247">
        <v>-95</v>
      </c>
      <c r="I247">
        <v>-1</v>
      </c>
      <c r="J247">
        <v>-2</v>
      </c>
      <c r="K247">
        <v>-212</v>
      </c>
      <c r="L247">
        <v>953</v>
      </c>
      <c r="T247">
        <v>20090505</v>
      </c>
      <c r="U247">
        <v>6637</v>
      </c>
      <c r="V247">
        <v>6720</v>
      </c>
      <c r="W247">
        <v>6426</v>
      </c>
      <c r="X247">
        <v>6542</v>
      </c>
      <c r="Y247">
        <v>155017</v>
      </c>
      <c r="Z247">
        <v>201</v>
      </c>
      <c r="AA247">
        <v>-95</v>
      </c>
      <c r="AB247">
        <v>1</v>
      </c>
      <c r="AC247">
        <v>0.7</v>
      </c>
      <c r="AD247">
        <v>-1</v>
      </c>
      <c r="AE247">
        <v>5963.875</v>
      </c>
      <c r="AF247">
        <v>5856.45</v>
      </c>
      <c r="AG247">
        <v>0</v>
      </c>
      <c r="AH247">
        <v>-1</v>
      </c>
      <c r="AI247">
        <v>-2</v>
      </c>
      <c r="AJ247">
        <v>-212</v>
      </c>
      <c r="AK247">
        <v>-318</v>
      </c>
    </row>
    <row r="248" spans="1:37" x14ac:dyDescent="0.25">
      <c r="A248">
        <v>0</v>
      </c>
      <c r="B248">
        <v>0.6</v>
      </c>
      <c r="C248">
        <v>-1</v>
      </c>
      <c r="D248">
        <v>6043.25</v>
      </c>
      <c r="E248">
        <v>5904.1</v>
      </c>
      <c r="F248">
        <v>0</v>
      </c>
      <c r="G248">
        <v>-32</v>
      </c>
      <c r="H248">
        <v>26</v>
      </c>
      <c r="I248">
        <v>-1</v>
      </c>
      <c r="J248">
        <v>-2</v>
      </c>
      <c r="K248">
        <v>12</v>
      </c>
      <c r="L248">
        <v>965</v>
      </c>
      <c r="T248">
        <v>20090506</v>
      </c>
      <c r="U248">
        <v>6510</v>
      </c>
      <c r="V248">
        <v>6585</v>
      </c>
      <c r="W248">
        <v>6412</v>
      </c>
      <c r="X248">
        <v>6536</v>
      </c>
      <c r="Y248">
        <v>119634</v>
      </c>
      <c r="Z248">
        <v>-32</v>
      </c>
      <c r="AA248">
        <v>26</v>
      </c>
      <c r="AB248">
        <v>0</v>
      </c>
      <c r="AC248">
        <v>0.6</v>
      </c>
      <c r="AD248">
        <v>-1</v>
      </c>
      <c r="AE248">
        <v>6043.25</v>
      </c>
      <c r="AF248">
        <v>5904.1</v>
      </c>
      <c r="AG248">
        <v>0</v>
      </c>
      <c r="AH248">
        <v>-1</v>
      </c>
      <c r="AI248">
        <v>-2</v>
      </c>
      <c r="AJ248">
        <v>12</v>
      </c>
      <c r="AK248">
        <v>-306</v>
      </c>
    </row>
    <row r="249" spans="1:37" x14ac:dyDescent="0.25">
      <c r="A249">
        <v>1</v>
      </c>
      <c r="B249">
        <v>0.7</v>
      </c>
      <c r="C249">
        <v>-1</v>
      </c>
      <c r="D249">
        <v>6131.875</v>
      </c>
      <c r="E249">
        <v>5961.95</v>
      </c>
      <c r="F249">
        <v>0</v>
      </c>
      <c r="G249">
        <v>70</v>
      </c>
      <c r="H249">
        <v>7</v>
      </c>
      <c r="I249">
        <v>-1</v>
      </c>
      <c r="J249">
        <v>-2</v>
      </c>
      <c r="K249">
        <v>-154</v>
      </c>
      <c r="L249">
        <v>811</v>
      </c>
      <c r="T249">
        <v>20090507</v>
      </c>
      <c r="U249">
        <v>6606</v>
      </c>
      <c r="V249">
        <v>6630</v>
      </c>
      <c r="W249">
        <v>6446</v>
      </c>
      <c r="X249">
        <v>6613</v>
      </c>
      <c r="Y249">
        <v>109116</v>
      </c>
      <c r="Z249">
        <v>70</v>
      </c>
      <c r="AA249">
        <v>7</v>
      </c>
      <c r="AB249">
        <v>1</v>
      </c>
      <c r="AC249">
        <v>0.7</v>
      </c>
      <c r="AD249">
        <v>-1</v>
      </c>
      <c r="AE249">
        <v>6131.875</v>
      </c>
      <c r="AF249">
        <v>5961.95</v>
      </c>
      <c r="AG249">
        <v>0</v>
      </c>
      <c r="AH249">
        <v>-1</v>
      </c>
      <c r="AI249">
        <v>-2</v>
      </c>
      <c r="AJ249">
        <v>-154</v>
      </c>
      <c r="AK249">
        <v>-460</v>
      </c>
    </row>
    <row r="250" spans="1:37" x14ac:dyDescent="0.25">
      <c r="A250">
        <v>0</v>
      </c>
      <c r="B250">
        <v>0.6</v>
      </c>
      <c r="C250">
        <v>-1</v>
      </c>
      <c r="D250">
        <v>6239.625</v>
      </c>
      <c r="E250">
        <v>6004.95</v>
      </c>
      <c r="F250">
        <v>0</v>
      </c>
      <c r="G250">
        <v>-43</v>
      </c>
      <c r="H250">
        <v>2</v>
      </c>
      <c r="I250">
        <v>-1</v>
      </c>
      <c r="J250">
        <v>-2</v>
      </c>
      <c r="K250">
        <v>82</v>
      </c>
      <c r="L250">
        <v>893</v>
      </c>
      <c r="T250">
        <v>20090508</v>
      </c>
      <c r="U250">
        <v>6570</v>
      </c>
      <c r="V250">
        <v>6598</v>
      </c>
      <c r="W250">
        <v>6506</v>
      </c>
      <c r="X250">
        <v>6572</v>
      </c>
      <c r="Y250">
        <v>93272</v>
      </c>
      <c r="Z250">
        <v>-43</v>
      </c>
      <c r="AA250">
        <v>2</v>
      </c>
      <c r="AB250">
        <v>0</v>
      </c>
      <c r="AC250">
        <v>0.6</v>
      </c>
      <c r="AD250">
        <v>-1</v>
      </c>
      <c r="AE250">
        <v>6239.625</v>
      </c>
      <c r="AF250">
        <v>6004.95</v>
      </c>
      <c r="AG250">
        <v>0</v>
      </c>
      <c r="AH250">
        <v>-1</v>
      </c>
      <c r="AI250">
        <v>-2</v>
      </c>
      <c r="AJ250">
        <v>82</v>
      </c>
      <c r="AK250">
        <v>-378</v>
      </c>
    </row>
    <row r="251" spans="1:37" x14ac:dyDescent="0.25">
      <c r="A251">
        <v>1</v>
      </c>
      <c r="B251">
        <v>0.6</v>
      </c>
      <c r="C251">
        <v>-1</v>
      </c>
      <c r="D251">
        <v>6366.75</v>
      </c>
      <c r="E251">
        <v>6043.45</v>
      </c>
      <c r="F251">
        <v>0</v>
      </c>
      <c r="G251">
        <v>-23</v>
      </c>
      <c r="H251">
        <v>48</v>
      </c>
      <c r="I251">
        <v>-1</v>
      </c>
      <c r="J251">
        <v>-2</v>
      </c>
      <c r="K251">
        <v>-50</v>
      </c>
      <c r="L251">
        <v>843</v>
      </c>
      <c r="T251">
        <v>20090511</v>
      </c>
      <c r="U251">
        <v>6549</v>
      </c>
      <c r="V251">
        <v>6697</v>
      </c>
      <c r="W251">
        <v>6522</v>
      </c>
      <c r="X251">
        <v>6597</v>
      </c>
      <c r="Y251">
        <v>100228</v>
      </c>
      <c r="Z251">
        <v>-23</v>
      </c>
      <c r="AA251">
        <v>48</v>
      </c>
      <c r="AB251">
        <v>1</v>
      </c>
      <c r="AC251">
        <v>0.6</v>
      </c>
      <c r="AD251">
        <v>-1</v>
      </c>
      <c r="AE251">
        <v>6366.75</v>
      </c>
      <c r="AF251">
        <v>6043.45</v>
      </c>
      <c r="AG251">
        <v>0</v>
      </c>
      <c r="AH251">
        <v>-1</v>
      </c>
      <c r="AI251">
        <v>-2</v>
      </c>
      <c r="AJ251">
        <v>-50</v>
      </c>
      <c r="AK251">
        <v>-428</v>
      </c>
    </row>
    <row r="252" spans="1:37" x14ac:dyDescent="0.25">
      <c r="A252">
        <v>0</v>
      </c>
      <c r="B252">
        <v>0.6</v>
      </c>
      <c r="C252">
        <v>-1</v>
      </c>
      <c r="D252">
        <v>6469.75</v>
      </c>
      <c r="E252">
        <v>6073.5</v>
      </c>
      <c r="F252">
        <v>0</v>
      </c>
      <c r="G252">
        <v>-35</v>
      </c>
      <c r="H252">
        <v>-115</v>
      </c>
      <c r="I252">
        <v>-1</v>
      </c>
      <c r="J252">
        <v>-2</v>
      </c>
      <c r="K252">
        <v>300</v>
      </c>
      <c r="L252">
        <v>1143</v>
      </c>
      <c r="T252">
        <v>20090512</v>
      </c>
      <c r="U252">
        <v>6562</v>
      </c>
      <c r="V252">
        <v>6586</v>
      </c>
      <c r="W252">
        <v>6385</v>
      </c>
      <c r="X252">
        <v>6447</v>
      </c>
      <c r="Y252">
        <v>125215</v>
      </c>
      <c r="Z252">
        <v>-35</v>
      </c>
      <c r="AA252">
        <v>-115</v>
      </c>
      <c r="AB252">
        <v>0</v>
      </c>
      <c r="AC252">
        <v>0.6</v>
      </c>
      <c r="AD252">
        <v>-1</v>
      </c>
      <c r="AE252">
        <v>6469.75</v>
      </c>
      <c r="AF252">
        <v>6073.5</v>
      </c>
      <c r="AG252">
        <v>0</v>
      </c>
      <c r="AH252">
        <v>-1</v>
      </c>
      <c r="AI252">
        <v>-2</v>
      </c>
      <c r="AJ252">
        <v>300</v>
      </c>
      <c r="AK252">
        <v>-128</v>
      </c>
    </row>
    <row r="253" spans="1:37" x14ac:dyDescent="0.25">
      <c r="A253">
        <v>1</v>
      </c>
      <c r="B253">
        <v>0.7</v>
      </c>
      <c r="C253">
        <v>-1</v>
      </c>
      <c r="D253">
        <v>6526.5</v>
      </c>
      <c r="E253">
        <v>6104.05</v>
      </c>
      <c r="F253">
        <v>0</v>
      </c>
      <c r="G253">
        <v>7</v>
      </c>
      <c r="H253">
        <v>15</v>
      </c>
      <c r="I253">
        <v>-1</v>
      </c>
      <c r="J253">
        <v>-2</v>
      </c>
      <c r="K253">
        <v>-44</v>
      </c>
      <c r="L253">
        <v>1099</v>
      </c>
      <c r="T253">
        <v>20090513</v>
      </c>
      <c r="U253">
        <v>6454</v>
      </c>
      <c r="V253">
        <v>6499</v>
      </c>
      <c r="W253">
        <v>6420</v>
      </c>
      <c r="X253">
        <v>6469</v>
      </c>
      <c r="Y253">
        <v>81204</v>
      </c>
      <c r="Z253">
        <v>7</v>
      </c>
      <c r="AA253">
        <v>15</v>
      </c>
      <c r="AB253">
        <v>1</v>
      </c>
      <c r="AC253">
        <v>0.7</v>
      </c>
      <c r="AD253">
        <v>-1</v>
      </c>
      <c r="AE253">
        <v>6526.5</v>
      </c>
      <c r="AF253">
        <v>6104.05</v>
      </c>
      <c r="AG253">
        <v>0</v>
      </c>
      <c r="AH253">
        <v>-1</v>
      </c>
      <c r="AI253">
        <v>-2</v>
      </c>
      <c r="AJ253">
        <v>-44</v>
      </c>
      <c r="AK253">
        <v>-172</v>
      </c>
    </row>
    <row r="254" spans="1:37" x14ac:dyDescent="0.25">
      <c r="A254">
        <v>0</v>
      </c>
      <c r="B254">
        <v>0.6</v>
      </c>
      <c r="C254">
        <v>-1</v>
      </c>
      <c r="D254">
        <v>6512.125</v>
      </c>
      <c r="E254">
        <v>6127.15</v>
      </c>
      <c r="F254">
        <v>0</v>
      </c>
      <c r="G254">
        <v>-114</v>
      </c>
      <c r="H254">
        <v>-34</v>
      </c>
      <c r="I254">
        <v>-1</v>
      </c>
      <c r="J254">
        <v>-2</v>
      </c>
      <c r="K254">
        <v>296</v>
      </c>
      <c r="L254">
        <v>1395</v>
      </c>
      <c r="T254">
        <v>20090514</v>
      </c>
      <c r="U254">
        <v>6355</v>
      </c>
      <c r="V254">
        <v>6419</v>
      </c>
      <c r="W254">
        <v>6315</v>
      </c>
      <c r="X254">
        <v>6321</v>
      </c>
      <c r="Y254">
        <v>90054</v>
      </c>
      <c r="Z254">
        <v>-114</v>
      </c>
      <c r="AA254">
        <v>-34</v>
      </c>
      <c r="AB254">
        <v>0</v>
      </c>
      <c r="AC254">
        <v>0.6</v>
      </c>
      <c r="AD254">
        <v>-1</v>
      </c>
      <c r="AE254">
        <v>6512.125</v>
      </c>
      <c r="AF254">
        <v>6127.15</v>
      </c>
      <c r="AG254">
        <v>0</v>
      </c>
      <c r="AH254">
        <v>-1</v>
      </c>
      <c r="AI254">
        <v>-2</v>
      </c>
      <c r="AJ254">
        <v>296</v>
      </c>
      <c r="AK254">
        <v>124</v>
      </c>
    </row>
    <row r="255" spans="1:37" x14ac:dyDescent="0.25">
      <c r="A255">
        <v>1</v>
      </c>
      <c r="B255">
        <v>0.6</v>
      </c>
      <c r="C255">
        <v>-1</v>
      </c>
      <c r="D255">
        <v>6503.875</v>
      </c>
      <c r="E255">
        <v>6151.25</v>
      </c>
      <c r="F255">
        <v>0</v>
      </c>
      <c r="G255">
        <v>51</v>
      </c>
      <c r="H255">
        <v>104</v>
      </c>
      <c r="I255">
        <v>-1</v>
      </c>
      <c r="J255">
        <v>-2</v>
      </c>
      <c r="K255">
        <v>-310</v>
      </c>
      <c r="L255">
        <v>1085</v>
      </c>
      <c r="T255">
        <v>20090515</v>
      </c>
      <c r="U255">
        <v>6372</v>
      </c>
      <c r="V255">
        <v>6509</v>
      </c>
      <c r="W255">
        <v>6356</v>
      </c>
      <c r="X255">
        <v>6476</v>
      </c>
      <c r="Y255">
        <v>97643</v>
      </c>
      <c r="Z255">
        <v>51</v>
      </c>
      <c r="AA255">
        <v>104</v>
      </c>
      <c r="AB255">
        <v>1</v>
      </c>
      <c r="AC255">
        <v>0.6</v>
      </c>
      <c r="AD255">
        <v>-1</v>
      </c>
      <c r="AE255">
        <v>6503.875</v>
      </c>
      <c r="AF255">
        <v>6151.25</v>
      </c>
      <c r="AG255">
        <v>0</v>
      </c>
      <c r="AH255">
        <v>-1</v>
      </c>
      <c r="AI255">
        <v>-2</v>
      </c>
      <c r="AJ255">
        <v>-310</v>
      </c>
      <c r="AK255">
        <v>-186</v>
      </c>
    </row>
    <row r="256" spans="1:37" x14ac:dyDescent="0.25">
      <c r="A256">
        <v>1</v>
      </c>
      <c r="B256">
        <v>0.6</v>
      </c>
      <c r="C256">
        <v>-1</v>
      </c>
      <c r="D256">
        <v>6507</v>
      </c>
      <c r="E256">
        <v>6190.55</v>
      </c>
      <c r="F256">
        <v>0</v>
      </c>
      <c r="G256">
        <v>-52</v>
      </c>
      <c r="H256">
        <v>137</v>
      </c>
      <c r="I256">
        <v>-1</v>
      </c>
      <c r="J256">
        <v>-2</v>
      </c>
      <c r="K256">
        <v>-170</v>
      </c>
      <c r="L256">
        <v>915</v>
      </c>
      <c r="T256">
        <v>20090518</v>
      </c>
      <c r="U256">
        <v>6424</v>
      </c>
      <c r="V256">
        <v>6573</v>
      </c>
      <c r="W256">
        <v>6402</v>
      </c>
      <c r="X256">
        <v>6561</v>
      </c>
      <c r="Y256">
        <v>103280</v>
      </c>
      <c r="Z256">
        <v>-52</v>
      </c>
      <c r="AA256">
        <v>137</v>
      </c>
      <c r="AB256">
        <v>1</v>
      </c>
      <c r="AC256">
        <v>0.6</v>
      </c>
      <c r="AD256">
        <v>-1</v>
      </c>
      <c r="AE256">
        <v>6507</v>
      </c>
      <c r="AF256">
        <v>6190.55</v>
      </c>
      <c r="AG256">
        <v>0</v>
      </c>
      <c r="AH256">
        <v>-1</v>
      </c>
      <c r="AI256">
        <v>-2</v>
      </c>
      <c r="AJ256">
        <v>-170</v>
      </c>
      <c r="AK256">
        <v>-356</v>
      </c>
    </row>
    <row r="257" spans="1:37" x14ac:dyDescent="0.25">
      <c r="A257">
        <v>1</v>
      </c>
      <c r="B257">
        <v>0.6</v>
      </c>
      <c r="C257">
        <v>-1</v>
      </c>
      <c r="D257">
        <v>6517</v>
      </c>
      <c r="E257">
        <v>6236.95</v>
      </c>
      <c r="F257">
        <v>0</v>
      </c>
      <c r="G257">
        <v>154</v>
      </c>
      <c r="H257">
        <v>-22</v>
      </c>
      <c r="I257">
        <v>-1</v>
      </c>
      <c r="J257">
        <v>-2</v>
      </c>
      <c r="K257">
        <v>-264</v>
      </c>
      <c r="L257">
        <v>651</v>
      </c>
      <c r="T257">
        <v>20090519</v>
      </c>
      <c r="U257">
        <v>6715</v>
      </c>
      <c r="V257">
        <v>6804</v>
      </c>
      <c r="W257">
        <v>6623</v>
      </c>
      <c r="X257">
        <v>6693</v>
      </c>
      <c r="Y257">
        <v>103465</v>
      </c>
      <c r="Z257">
        <v>154</v>
      </c>
      <c r="AA257">
        <v>-22</v>
      </c>
      <c r="AB257">
        <v>1</v>
      </c>
      <c r="AC257">
        <v>0.6</v>
      </c>
      <c r="AD257">
        <v>-1</v>
      </c>
      <c r="AE257">
        <v>6517</v>
      </c>
      <c r="AF257">
        <v>6236.95</v>
      </c>
      <c r="AG257">
        <v>0</v>
      </c>
      <c r="AH257">
        <v>-1</v>
      </c>
      <c r="AI257">
        <v>-2</v>
      </c>
      <c r="AJ257">
        <v>-264</v>
      </c>
      <c r="AK257">
        <v>-620</v>
      </c>
    </row>
    <row r="258" spans="1:37" x14ac:dyDescent="0.25">
      <c r="A258">
        <v>0</v>
      </c>
      <c r="B258">
        <v>0.6</v>
      </c>
      <c r="C258">
        <v>-1</v>
      </c>
      <c r="D258">
        <v>6529</v>
      </c>
      <c r="E258">
        <v>6275.55</v>
      </c>
      <c r="F258">
        <v>0</v>
      </c>
      <c r="G258">
        <v>-8</v>
      </c>
      <c r="H258">
        <v>-17</v>
      </c>
      <c r="I258">
        <v>-1</v>
      </c>
      <c r="J258">
        <v>-2</v>
      </c>
      <c r="K258">
        <v>50</v>
      </c>
      <c r="L258">
        <v>701</v>
      </c>
      <c r="T258">
        <v>20090520</v>
      </c>
      <c r="U258">
        <v>6685</v>
      </c>
      <c r="V258">
        <v>6716</v>
      </c>
      <c r="W258">
        <v>6570</v>
      </c>
      <c r="X258">
        <v>6668</v>
      </c>
      <c r="Y258">
        <v>55009</v>
      </c>
      <c r="Z258">
        <v>-8</v>
      </c>
      <c r="AA258">
        <v>-17</v>
      </c>
      <c r="AB258">
        <v>0</v>
      </c>
      <c r="AC258">
        <v>0.6</v>
      </c>
      <c r="AD258">
        <v>-1</v>
      </c>
      <c r="AE258">
        <v>6529</v>
      </c>
      <c r="AF258">
        <v>6275.55</v>
      </c>
      <c r="AG258">
        <v>0</v>
      </c>
      <c r="AH258">
        <v>-1</v>
      </c>
      <c r="AI258">
        <v>-2</v>
      </c>
      <c r="AJ258">
        <v>50</v>
      </c>
      <c r="AK258">
        <v>-570</v>
      </c>
    </row>
    <row r="259" spans="1:37" x14ac:dyDescent="0.25">
      <c r="A259">
        <v>1</v>
      </c>
      <c r="B259">
        <v>0.6</v>
      </c>
      <c r="C259">
        <v>-1</v>
      </c>
      <c r="D259">
        <v>6538.25</v>
      </c>
      <c r="E259">
        <v>6316.75</v>
      </c>
      <c r="F259">
        <v>0</v>
      </c>
      <c r="G259">
        <v>-39</v>
      </c>
      <c r="H259">
        <v>42</v>
      </c>
      <c r="I259">
        <v>-1</v>
      </c>
      <c r="J259">
        <v>-2</v>
      </c>
      <c r="K259">
        <v>-6</v>
      </c>
      <c r="L259">
        <v>695</v>
      </c>
      <c r="T259">
        <v>20090521</v>
      </c>
      <c r="U259">
        <v>6629</v>
      </c>
      <c r="V259">
        <v>6695</v>
      </c>
      <c r="W259">
        <v>6605</v>
      </c>
      <c r="X259">
        <v>6671</v>
      </c>
      <c r="Y259">
        <v>91016</v>
      </c>
      <c r="Z259">
        <v>-39</v>
      </c>
      <c r="AA259">
        <v>42</v>
      </c>
      <c r="AB259">
        <v>1</v>
      </c>
      <c r="AC259">
        <v>0.6</v>
      </c>
      <c r="AD259">
        <v>-1</v>
      </c>
      <c r="AE259">
        <v>6538.25</v>
      </c>
      <c r="AF259">
        <v>6316.75</v>
      </c>
      <c r="AG259">
        <v>0</v>
      </c>
      <c r="AH259">
        <v>-1</v>
      </c>
      <c r="AI259">
        <v>-2</v>
      </c>
      <c r="AJ259">
        <v>-6</v>
      </c>
      <c r="AK259">
        <v>-576</v>
      </c>
    </row>
    <row r="260" spans="1:37" x14ac:dyDescent="0.25">
      <c r="A260">
        <v>1</v>
      </c>
      <c r="B260">
        <v>0.7</v>
      </c>
      <c r="C260">
        <v>-1</v>
      </c>
      <c r="D260">
        <v>6568.875</v>
      </c>
      <c r="E260">
        <v>6356.3</v>
      </c>
      <c r="F260">
        <v>0</v>
      </c>
      <c r="G260">
        <v>-66</v>
      </c>
      <c r="H260">
        <v>87</v>
      </c>
      <c r="I260">
        <v>-1</v>
      </c>
      <c r="J260">
        <v>-2</v>
      </c>
      <c r="K260">
        <v>-42</v>
      </c>
      <c r="L260">
        <v>653</v>
      </c>
      <c r="T260">
        <v>20090522</v>
      </c>
      <c r="U260">
        <v>6605</v>
      </c>
      <c r="V260">
        <v>6732</v>
      </c>
      <c r="W260">
        <v>6595</v>
      </c>
      <c r="X260">
        <v>6692</v>
      </c>
      <c r="Y260">
        <v>90225</v>
      </c>
      <c r="Z260">
        <v>-66</v>
      </c>
      <c r="AA260">
        <v>87</v>
      </c>
      <c r="AB260">
        <v>1</v>
      </c>
      <c r="AC260">
        <v>0.7</v>
      </c>
      <c r="AD260">
        <v>-1</v>
      </c>
      <c r="AE260">
        <v>6568.875</v>
      </c>
      <c r="AF260">
        <v>6356.3</v>
      </c>
      <c r="AG260">
        <v>0</v>
      </c>
      <c r="AH260">
        <v>-1</v>
      </c>
      <c r="AI260">
        <v>-2</v>
      </c>
      <c r="AJ260">
        <v>-42</v>
      </c>
      <c r="AK260">
        <v>-618</v>
      </c>
    </row>
    <row r="261" spans="1:37" x14ac:dyDescent="0.25">
      <c r="A261">
        <v>1</v>
      </c>
      <c r="B261">
        <v>0.7</v>
      </c>
      <c r="C261">
        <v>-1</v>
      </c>
      <c r="D261">
        <v>6600.75</v>
      </c>
      <c r="E261">
        <v>6397.3</v>
      </c>
      <c r="F261">
        <v>0</v>
      </c>
      <c r="G261">
        <v>59</v>
      </c>
      <c r="H261">
        <v>-27</v>
      </c>
      <c r="I261">
        <v>-1</v>
      </c>
      <c r="J261">
        <v>-2</v>
      </c>
      <c r="K261">
        <v>-64</v>
      </c>
      <c r="L261">
        <v>589</v>
      </c>
      <c r="T261">
        <v>20090525</v>
      </c>
      <c r="U261">
        <v>6751</v>
      </c>
      <c r="V261">
        <v>6837</v>
      </c>
      <c r="W261">
        <v>6647</v>
      </c>
      <c r="X261">
        <v>6724</v>
      </c>
      <c r="Y261">
        <v>109495</v>
      </c>
      <c r="Z261">
        <v>59</v>
      </c>
      <c r="AA261">
        <v>-27</v>
      </c>
      <c r="AB261">
        <v>1</v>
      </c>
      <c r="AC261">
        <v>0.7</v>
      </c>
      <c r="AD261">
        <v>-1</v>
      </c>
      <c r="AE261">
        <v>6600.75</v>
      </c>
      <c r="AF261">
        <v>6397.3</v>
      </c>
      <c r="AG261">
        <v>0</v>
      </c>
      <c r="AH261">
        <v>-1</v>
      </c>
      <c r="AI261">
        <v>-2</v>
      </c>
      <c r="AJ261">
        <v>-64</v>
      </c>
      <c r="AK261">
        <v>-682</v>
      </c>
    </row>
    <row r="262" spans="1:37" x14ac:dyDescent="0.25">
      <c r="A262">
        <v>0</v>
      </c>
      <c r="B262">
        <v>0.7</v>
      </c>
      <c r="C262">
        <v>-1</v>
      </c>
      <c r="D262">
        <v>6641.375</v>
      </c>
      <c r="E262">
        <v>6444.1</v>
      </c>
      <c r="F262">
        <v>0</v>
      </c>
      <c r="G262">
        <v>-24</v>
      </c>
      <c r="H262">
        <v>-54</v>
      </c>
      <c r="I262">
        <v>-1</v>
      </c>
      <c r="J262">
        <v>-2</v>
      </c>
      <c r="K262">
        <v>156</v>
      </c>
      <c r="L262">
        <v>745</v>
      </c>
      <c r="T262">
        <v>20090526</v>
      </c>
      <c r="U262">
        <v>6700</v>
      </c>
      <c r="V262">
        <v>6761</v>
      </c>
      <c r="W262">
        <v>6633</v>
      </c>
      <c r="X262">
        <v>6646</v>
      </c>
      <c r="Y262">
        <v>94233</v>
      </c>
      <c r="Z262">
        <v>-24</v>
      </c>
      <c r="AA262">
        <v>-54</v>
      </c>
      <c r="AB262">
        <v>0</v>
      </c>
      <c r="AC262">
        <v>0.7</v>
      </c>
      <c r="AD262">
        <v>-1</v>
      </c>
      <c r="AE262">
        <v>6641.375</v>
      </c>
      <c r="AF262">
        <v>6444.1</v>
      </c>
      <c r="AG262">
        <v>0</v>
      </c>
      <c r="AH262">
        <v>-1</v>
      </c>
      <c r="AI262">
        <v>-2</v>
      </c>
      <c r="AJ262">
        <v>156</v>
      </c>
      <c r="AK262">
        <v>-526</v>
      </c>
    </row>
    <row r="263" spans="1:37" x14ac:dyDescent="0.25">
      <c r="A263">
        <v>1</v>
      </c>
      <c r="B263">
        <v>0.7</v>
      </c>
      <c r="C263">
        <v>-1</v>
      </c>
      <c r="D263">
        <v>6698.375</v>
      </c>
      <c r="E263">
        <v>6511.7</v>
      </c>
      <c r="F263">
        <v>0</v>
      </c>
      <c r="G263">
        <v>74</v>
      </c>
      <c r="H263">
        <v>212</v>
      </c>
      <c r="I263">
        <v>-1</v>
      </c>
      <c r="J263">
        <v>-2</v>
      </c>
      <c r="K263">
        <v>-572</v>
      </c>
      <c r="L263">
        <v>173</v>
      </c>
      <c r="T263">
        <v>20090527</v>
      </c>
      <c r="U263">
        <v>6720</v>
      </c>
      <c r="V263">
        <v>6997</v>
      </c>
      <c r="W263">
        <v>6699</v>
      </c>
      <c r="X263">
        <v>6932</v>
      </c>
      <c r="Y263">
        <v>115296</v>
      </c>
      <c r="Z263">
        <v>74</v>
      </c>
      <c r="AA263">
        <v>212</v>
      </c>
      <c r="AB263">
        <v>1</v>
      </c>
      <c r="AC263">
        <v>0.7</v>
      </c>
      <c r="AD263">
        <v>-1</v>
      </c>
      <c r="AE263">
        <v>6698.375</v>
      </c>
      <c r="AF263">
        <v>6511.7</v>
      </c>
      <c r="AG263">
        <v>0</v>
      </c>
      <c r="AH263">
        <v>-1</v>
      </c>
      <c r="AI263">
        <v>-2</v>
      </c>
      <c r="AJ263">
        <v>-572</v>
      </c>
      <c r="AK263">
        <v>-1098</v>
      </c>
    </row>
    <row r="264" spans="1:37" x14ac:dyDescent="0.25">
      <c r="A264">
        <v>1</v>
      </c>
      <c r="B264">
        <v>0.8</v>
      </c>
      <c r="C264">
        <v>-1</v>
      </c>
      <c r="D264">
        <v>6747.5</v>
      </c>
      <c r="E264">
        <v>6578.25</v>
      </c>
      <c r="F264">
        <v>0</v>
      </c>
      <c r="G264">
        <v>48</v>
      </c>
      <c r="H264">
        <v>-26</v>
      </c>
      <c r="I264">
        <v>-1</v>
      </c>
      <c r="J264">
        <v>-2</v>
      </c>
      <c r="K264">
        <v>-44</v>
      </c>
      <c r="L264">
        <v>129</v>
      </c>
      <c r="T264">
        <v>20090601</v>
      </c>
      <c r="U264">
        <v>6980</v>
      </c>
      <c r="V264">
        <v>7010</v>
      </c>
      <c r="W264">
        <v>6900</v>
      </c>
      <c r="X264">
        <v>6954</v>
      </c>
      <c r="Y264">
        <v>76090</v>
      </c>
      <c r="Z264">
        <v>48</v>
      </c>
      <c r="AA264">
        <v>-26</v>
      </c>
      <c r="AB264">
        <v>1</v>
      </c>
      <c r="AC264">
        <v>0.8</v>
      </c>
      <c r="AD264">
        <v>-1</v>
      </c>
      <c r="AE264">
        <v>6747.5</v>
      </c>
      <c r="AF264">
        <v>6578.25</v>
      </c>
      <c r="AG264">
        <v>0</v>
      </c>
      <c r="AH264">
        <v>-1</v>
      </c>
      <c r="AI264">
        <v>-2</v>
      </c>
      <c r="AJ264">
        <v>-44</v>
      </c>
      <c r="AK264">
        <v>-1142</v>
      </c>
    </row>
    <row r="265" spans="1:37" x14ac:dyDescent="0.25">
      <c r="A265">
        <v>0</v>
      </c>
      <c r="B265">
        <v>0.7</v>
      </c>
      <c r="C265">
        <v>-1</v>
      </c>
      <c r="D265">
        <v>6775.375</v>
      </c>
      <c r="E265">
        <v>6623.3</v>
      </c>
      <c r="F265">
        <v>0</v>
      </c>
      <c r="G265">
        <v>83</v>
      </c>
      <c r="H265">
        <v>-121</v>
      </c>
      <c r="I265">
        <v>-1</v>
      </c>
      <c r="J265">
        <v>-2</v>
      </c>
      <c r="K265">
        <v>76</v>
      </c>
      <c r="L265">
        <v>205</v>
      </c>
      <c r="T265">
        <v>20090602</v>
      </c>
      <c r="U265">
        <v>7037</v>
      </c>
      <c r="V265">
        <v>7050</v>
      </c>
      <c r="W265">
        <v>6864</v>
      </c>
      <c r="X265">
        <v>6916</v>
      </c>
      <c r="Y265">
        <v>92034</v>
      </c>
      <c r="Z265">
        <v>83</v>
      </c>
      <c r="AA265">
        <v>-121</v>
      </c>
      <c r="AB265">
        <v>0</v>
      </c>
      <c r="AC265">
        <v>0.7</v>
      </c>
      <c r="AD265">
        <v>-1</v>
      </c>
      <c r="AE265">
        <v>6775.375</v>
      </c>
      <c r="AF265">
        <v>6623.3</v>
      </c>
      <c r="AG265">
        <v>0</v>
      </c>
      <c r="AH265">
        <v>-1</v>
      </c>
      <c r="AI265">
        <v>-2</v>
      </c>
      <c r="AJ265">
        <v>76</v>
      </c>
      <c r="AK265">
        <v>-1066</v>
      </c>
    </row>
    <row r="266" spans="1:37" x14ac:dyDescent="0.25">
      <c r="A266">
        <v>0</v>
      </c>
      <c r="B266">
        <v>0.6</v>
      </c>
      <c r="C266">
        <v>-1</v>
      </c>
      <c r="D266">
        <v>6804.125</v>
      </c>
      <c r="E266">
        <v>6646.4</v>
      </c>
      <c r="F266">
        <v>0</v>
      </c>
      <c r="G266">
        <v>12</v>
      </c>
      <c r="H266">
        <v>-30</v>
      </c>
      <c r="I266">
        <v>-1</v>
      </c>
      <c r="J266">
        <v>-2</v>
      </c>
      <c r="K266">
        <v>36</v>
      </c>
      <c r="L266">
        <v>241</v>
      </c>
      <c r="T266">
        <v>20090603</v>
      </c>
      <c r="U266">
        <v>6928</v>
      </c>
      <c r="V266">
        <v>6933</v>
      </c>
      <c r="W266">
        <v>6842</v>
      </c>
      <c r="X266">
        <v>6898</v>
      </c>
      <c r="Y266">
        <v>80134</v>
      </c>
      <c r="Z266">
        <v>12</v>
      </c>
      <c r="AA266">
        <v>-30</v>
      </c>
      <c r="AB266">
        <v>0</v>
      </c>
      <c r="AC266">
        <v>0.6</v>
      </c>
      <c r="AD266">
        <v>-1</v>
      </c>
      <c r="AE266">
        <v>6804.125</v>
      </c>
      <c r="AF266">
        <v>6646.4</v>
      </c>
      <c r="AG266">
        <v>0</v>
      </c>
      <c r="AH266">
        <v>-1</v>
      </c>
      <c r="AI266">
        <v>-2</v>
      </c>
      <c r="AJ266">
        <v>36</v>
      </c>
      <c r="AK266">
        <v>-1030</v>
      </c>
    </row>
    <row r="267" spans="1:37" x14ac:dyDescent="0.25">
      <c r="A267">
        <v>0</v>
      </c>
      <c r="B267">
        <v>0.5</v>
      </c>
      <c r="C267">
        <v>-1</v>
      </c>
      <c r="D267">
        <v>6818.25</v>
      </c>
      <c r="E267">
        <v>6658.5</v>
      </c>
      <c r="F267">
        <v>0</v>
      </c>
      <c r="G267">
        <v>-38</v>
      </c>
      <c r="H267">
        <v>-76</v>
      </c>
      <c r="I267">
        <v>-1</v>
      </c>
      <c r="J267">
        <v>-2</v>
      </c>
      <c r="K267">
        <v>228</v>
      </c>
      <c r="L267">
        <v>469</v>
      </c>
      <c r="T267">
        <v>20090604</v>
      </c>
      <c r="U267">
        <v>6860</v>
      </c>
      <c r="V267">
        <v>6897</v>
      </c>
      <c r="W267">
        <v>6696</v>
      </c>
      <c r="X267">
        <v>6784</v>
      </c>
      <c r="Y267">
        <v>112875</v>
      </c>
      <c r="Z267">
        <v>-38</v>
      </c>
      <c r="AA267">
        <v>-76</v>
      </c>
      <c r="AB267">
        <v>0</v>
      </c>
      <c r="AC267">
        <v>0.5</v>
      </c>
      <c r="AD267">
        <v>0</v>
      </c>
      <c r="AE267">
        <v>6818.25</v>
      </c>
      <c r="AF267">
        <v>6658.5</v>
      </c>
      <c r="AG267">
        <v>0</v>
      </c>
      <c r="AH267">
        <v>0</v>
      </c>
      <c r="AI267">
        <v>-2</v>
      </c>
      <c r="AJ267">
        <v>228</v>
      </c>
      <c r="AK267">
        <v>-802</v>
      </c>
    </row>
    <row r="268" spans="1:37" x14ac:dyDescent="0.25">
      <c r="A268">
        <v>1</v>
      </c>
      <c r="B268">
        <v>0.6</v>
      </c>
      <c r="C268">
        <v>-1</v>
      </c>
      <c r="D268">
        <v>6830.5</v>
      </c>
      <c r="E268">
        <v>6671.2</v>
      </c>
      <c r="F268">
        <v>0</v>
      </c>
      <c r="G268">
        <v>27</v>
      </c>
      <c r="H268">
        <v>-21</v>
      </c>
      <c r="I268">
        <v>-1</v>
      </c>
      <c r="J268">
        <v>-2</v>
      </c>
      <c r="K268">
        <v>-12</v>
      </c>
      <c r="L268">
        <v>457</v>
      </c>
      <c r="T268">
        <v>20090605</v>
      </c>
      <c r="U268">
        <v>6811</v>
      </c>
      <c r="V268">
        <v>6827</v>
      </c>
      <c r="W268">
        <v>6735</v>
      </c>
      <c r="X268">
        <v>6790</v>
      </c>
      <c r="Y268">
        <v>74420</v>
      </c>
      <c r="Z268">
        <v>27</v>
      </c>
      <c r="AA268">
        <v>-21</v>
      </c>
      <c r="AB268">
        <v>1</v>
      </c>
      <c r="AC268">
        <v>0.6</v>
      </c>
      <c r="AD268">
        <v>-1</v>
      </c>
      <c r="AE268">
        <v>6830.5</v>
      </c>
      <c r="AF268">
        <v>6671.2</v>
      </c>
      <c r="AG268">
        <v>0</v>
      </c>
      <c r="AH268">
        <v>-1</v>
      </c>
      <c r="AI268">
        <v>-2</v>
      </c>
      <c r="AJ268">
        <v>-12</v>
      </c>
      <c r="AK268">
        <v>-814</v>
      </c>
    </row>
    <row r="269" spans="1:37" x14ac:dyDescent="0.25">
      <c r="A269">
        <v>1</v>
      </c>
      <c r="B269">
        <v>0.6</v>
      </c>
      <c r="C269">
        <v>-1</v>
      </c>
      <c r="D269">
        <v>6844.125</v>
      </c>
      <c r="E269">
        <v>6682.2</v>
      </c>
      <c r="F269">
        <v>0</v>
      </c>
      <c r="G269">
        <v>-13</v>
      </c>
      <c r="H269">
        <v>56</v>
      </c>
      <c r="I269">
        <v>-1</v>
      </c>
      <c r="J269">
        <v>-2</v>
      </c>
      <c r="K269">
        <v>-86</v>
      </c>
      <c r="L269">
        <v>371</v>
      </c>
      <c r="T269">
        <v>20090606</v>
      </c>
      <c r="U269">
        <v>6777</v>
      </c>
      <c r="V269">
        <v>6853</v>
      </c>
      <c r="W269">
        <v>6775</v>
      </c>
      <c r="X269">
        <v>6833</v>
      </c>
      <c r="Y269">
        <v>39196</v>
      </c>
      <c r="Z269">
        <v>-13</v>
      </c>
      <c r="AA269">
        <v>56</v>
      </c>
      <c r="AB269">
        <v>1</v>
      </c>
      <c r="AC269">
        <v>0.6</v>
      </c>
      <c r="AD269">
        <v>-1</v>
      </c>
      <c r="AE269">
        <v>6844.125</v>
      </c>
      <c r="AF269">
        <v>6682.2</v>
      </c>
      <c r="AG269">
        <v>0</v>
      </c>
      <c r="AH269">
        <v>-1</v>
      </c>
      <c r="AI269">
        <v>-2</v>
      </c>
      <c r="AJ269">
        <v>-86</v>
      </c>
      <c r="AK269">
        <v>-900</v>
      </c>
    </row>
    <row r="270" spans="1:37" x14ac:dyDescent="0.25">
      <c r="A270">
        <v>0</v>
      </c>
      <c r="B270">
        <v>0.5</v>
      </c>
      <c r="C270">
        <v>-1</v>
      </c>
      <c r="D270">
        <v>6843.75</v>
      </c>
      <c r="E270">
        <v>6685.75</v>
      </c>
      <c r="F270">
        <v>0</v>
      </c>
      <c r="G270">
        <v>32</v>
      </c>
      <c r="H270">
        <v>-222</v>
      </c>
      <c r="I270">
        <v>-1</v>
      </c>
      <c r="J270">
        <v>-2</v>
      </c>
      <c r="K270">
        <v>380</v>
      </c>
      <c r="L270">
        <v>751</v>
      </c>
      <c r="T270">
        <v>20090608</v>
      </c>
      <c r="U270">
        <v>6865</v>
      </c>
      <c r="V270">
        <v>6884</v>
      </c>
      <c r="W270">
        <v>6612</v>
      </c>
      <c r="X270">
        <v>6643</v>
      </c>
      <c r="Y270">
        <v>98319</v>
      </c>
      <c r="Z270">
        <v>32</v>
      </c>
      <c r="AA270">
        <v>-222</v>
      </c>
      <c r="AB270">
        <v>0</v>
      </c>
      <c r="AC270">
        <v>0.5</v>
      </c>
      <c r="AD270">
        <v>0</v>
      </c>
      <c r="AE270">
        <v>6843.75</v>
      </c>
      <c r="AF270">
        <v>6685.75</v>
      </c>
      <c r="AG270">
        <v>0</v>
      </c>
      <c r="AH270">
        <v>0</v>
      </c>
      <c r="AI270">
        <v>-2</v>
      </c>
      <c r="AJ270">
        <v>380</v>
      </c>
      <c r="AK270">
        <v>-520</v>
      </c>
    </row>
    <row r="271" spans="1:37" x14ac:dyDescent="0.25">
      <c r="A271">
        <v>0</v>
      </c>
      <c r="B271">
        <v>0.4</v>
      </c>
      <c r="C271">
        <v>-1</v>
      </c>
      <c r="D271">
        <v>6778.875</v>
      </c>
      <c r="E271">
        <v>6676.55</v>
      </c>
      <c r="F271">
        <v>0</v>
      </c>
      <c r="G271">
        <v>25</v>
      </c>
      <c r="H271">
        <v>-255</v>
      </c>
      <c r="I271">
        <v>-1</v>
      </c>
      <c r="J271">
        <v>-2</v>
      </c>
      <c r="K271">
        <v>460</v>
      </c>
      <c r="L271">
        <v>1211</v>
      </c>
      <c r="T271">
        <v>20090609</v>
      </c>
      <c r="U271">
        <v>6668</v>
      </c>
      <c r="V271">
        <v>6668</v>
      </c>
      <c r="W271">
        <v>6390</v>
      </c>
      <c r="X271">
        <v>6413</v>
      </c>
      <c r="Y271">
        <v>120934</v>
      </c>
      <c r="Z271">
        <v>25</v>
      </c>
      <c r="AA271">
        <v>-255</v>
      </c>
      <c r="AB271">
        <v>0</v>
      </c>
      <c r="AC271">
        <v>0.4</v>
      </c>
      <c r="AD271">
        <v>0</v>
      </c>
      <c r="AE271">
        <v>6778.875</v>
      </c>
      <c r="AF271">
        <v>6676.55</v>
      </c>
      <c r="AG271">
        <v>0</v>
      </c>
      <c r="AH271">
        <v>0</v>
      </c>
      <c r="AI271">
        <v>-2</v>
      </c>
      <c r="AJ271">
        <v>460</v>
      </c>
      <c r="AK271">
        <v>-60</v>
      </c>
    </row>
    <row r="272" spans="1:37" x14ac:dyDescent="0.25">
      <c r="A272">
        <v>1</v>
      </c>
      <c r="B272">
        <v>0.5</v>
      </c>
      <c r="C272">
        <v>-1</v>
      </c>
      <c r="D272">
        <v>6717</v>
      </c>
      <c r="E272">
        <v>6677.15</v>
      </c>
      <c r="F272">
        <v>0</v>
      </c>
      <c r="G272">
        <v>45</v>
      </c>
      <c r="H272">
        <v>1</v>
      </c>
      <c r="I272">
        <v>-1</v>
      </c>
      <c r="J272">
        <v>-2</v>
      </c>
      <c r="K272">
        <v>-92</v>
      </c>
      <c r="L272">
        <v>1119</v>
      </c>
      <c r="T272">
        <v>20090610</v>
      </c>
      <c r="U272">
        <v>6458</v>
      </c>
      <c r="V272">
        <v>6504</v>
      </c>
      <c r="W272">
        <v>6385</v>
      </c>
      <c r="X272">
        <v>6459</v>
      </c>
      <c r="Y272">
        <v>91260</v>
      </c>
      <c r="Z272">
        <v>45</v>
      </c>
      <c r="AA272">
        <v>1</v>
      </c>
      <c r="AB272">
        <v>1</v>
      </c>
      <c r="AC272">
        <v>0.5</v>
      </c>
      <c r="AD272">
        <v>0</v>
      </c>
      <c r="AE272">
        <v>6717</v>
      </c>
      <c r="AF272">
        <v>6677.15</v>
      </c>
      <c r="AG272">
        <v>0</v>
      </c>
      <c r="AH272">
        <v>0</v>
      </c>
      <c r="AI272">
        <v>-2</v>
      </c>
      <c r="AJ272">
        <v>-92</v>
      </c>
      <c r="AK272">
        <v>-152</v>
      </c>
    </row>
    <row r="273" spans="1:37" x14ac:dyDescent="0.25">
      <c r="A273">
        <v>1</v>
      </c>
      <c r="B273">
        <v>0.5</v>
      </c>
      <c r="C273">
        <v>-1</v>
      </c>
      <c r="D273">
        <v>6667</v>
      </c>
      <c r="E273">
        <v>6679.5</v>
      </c>
      <c r="F273">
        <v>-1</v>
      </c>
      <c r="G273">
        <v>31</v>
      </c>
      <c r="H273">
        <v>26</v>
      </c>
      <c r="I273">
        <v>-1</v>
      </c>
      <c r="J273">
        <v>-2</v>
      </c>
      <c r="K273">
        <v>-114</v>
      </c>
      <c r="L273">
        <v>1005</v>
      </c>
      <c r="T273">
        <v>20090611</v>
      </c>
      <c r="U273">
        <v>6490</v>
      </c>
      <c r="V273">
        <v>6545</v>
      </c>
      <c r="W273">
        <v>6335</v>
      </c>
      <c r="X273">
        <v>6516</v>
      </c>
      <c r="Y273">
        <v>122668</v>
      </c>
      <c r="Z273">
        <v>31</v>
      </c>
      <c r="AA273">
        <v>26</v>
      </c>
      <c r="AB273">
        <v>1</v>
      </c>
      <c r="AC273">
        <v>0.5</v>
      </c>
      <c r="AD273">
        <v>0</v>
      </c>
      <c r="AE273">
        <v>6667</v>
      </c>
      <c r="AF273">
        <v>6679.5</v>
      </c>
      <c r="AG273">
        <v>-1</v>
      </c>
      <c r="AH273">
        <v>-1</v>
      </c>
      <c r="AI273">
        <v>-2</v>
      </c>
      <c r="AJ273">
        <v>-114</v>
      </c>
      <c r="AK273">
        <v>-266</v>
      </c>
    </row>
    <row r="274" spans="1:37" x14ac:dyDescent="0.25">
      <c r="A274">
        <v>0</v>
      </c>
      <c r="B274">
        <v>0.4</v>
      </c>
      <c r="C274">
        <v>-1</v>
      </c>
      <c r="D274">
        <v>6609.375</v>
      </c>
      <c r="E274">
        <v>6685.3</v>
      </c>
      <c r="F274">
        <v>0</v>
      </c>
      <c r="G274">
        <v>14</v>
      </c>
      <c r="H274">
        <v>-93</v>
      </c>
      <c r="I274">
        <v>-1</v>
      </c>
      <c r="J274">
        <v>-2</v>
      </c>
      <c r="K274">
        <v>158</v>
      </c>
      <c r="L274">
        <v>1163</v>
      </c>
      <c r="T274">
        <v>20090612</v>
      </c>
      <c r="U274">
        <v>6530</v>
      </c>
      <c r="V274">
        <v>6558</v>
      </c>
      <c r="W274">
        <v>6411</v>
      </c>
      <c r="X274">
        <v>6437</v>
      </c>
      <c r="Y274">
        <v>104854</v>
      </c>
      <c r="Z274">
        <v>14</v>
      </c>
      <c r="AA274">
        <v>-93</v>
      </c>
      <c r="AB274">
        <v>0</v>
      </c>
      <c r="AC274">
        <v>0.4</v>
      </c>
      <c r="AD274">
        <v>0</v>
      </c>
      <c r="AE274">
        <v>6609.375</v>
      </c>
      <c r="AF274">
        <v>6685.3</v>
      </c>
      <c r="AG274">
        <v>0</v>
      </c>
      <c r="AH274">
        <v>0</v>
      </c>
      <c r="AI274">
        <v>-2</v>
      </c>
      <c r="AJ274">
        <v>158</v>
      </c>
      <c r="AK274">
        <v>-108</v>
      </c>
    </row>
    <row r="275" spans="1:37" x14ac:dyDescent="0.25">
      <c r="A275">
        <v>0</v>
      </c>
      <c r="B275">
        <v>0.4</v>
      </c>
      <c r="C275">
        <v>-1</v>
      </c>
      <c r="D275">
        <v>6537.375</v>
      </c>
      <c r="E275">
        <v>6671.9</v>
      </c>
      <c r="F275">
        <v>0</v>
      </c>
      <c r="G275">
        <v>-47</v>
      </c>
      <c r="H275">
        <v>-182</v>
      </c>
      <c r="I275">
        <v>-1</v>
      </c>
      <c r="J275">
        <v>-2</v>
      </c>
      <c r="K275">
        <v>458</v>
      </c>
      <c r="L275">
        <v>1621</v>
      </c>
      <c r="T275">
        <v>20090615</v>
      </c>
      <c r="U275">
        <v>6390</v>
      </c>
      <c r="V275">
        <v>6390</v>
      </c>
      <c r="W275">
        <v>6174</v>
      </c>
      <c r="X275">
        <v>6208</v>
      </c>
      <c r="Y275">
        <v>115650</v>
      </c>
      <c r="Z275">
        <v>-47</v>
      </c>
      <c r="AA275">
        <v>-182</v>
      </c>
      <c r="AB275">
        <v>0</v>
      </c>
      <c r="AC275">
        <v>0.4</v>
      </c>
      <c r="AD275">
        <v>0</v>
      </c>
      <c r="AE275">
        <v>6537.375</v>
      </c>
      <c r="AF275">
        <v>6671.9</v>
      </c>
      <c r="AG275">
        <v>0</v>
      </c>
      <c r="AH275">
        <v>0</v>
      </c>
      <c r="AI275">
        <v>-2</v>
      </c>
      <c r="AJ275">
        <v>458</v>
      </c>
      <c r="AK275">
        <v>350</v>
      </c>
    </row>
    <row r="276" spans="1:37" x14ac:dyDescent="0.25">
      <c r="A276">
        <v>0</v>
      </c>
      <c r="B276">
        <v>0.4</v>
      </c>
      <c r="C276">
        <v>-1</v>
      </c>
      <c r="D276">
        <v>6464.625</v>
      </c>
      <c r="E276">
        <v>6654.25</v>
      </c>
      <c r="F276">
        <v>0</v>
      </c>
      <c r="G276">
        <v>-35</v>
      </c>
      <c r="H276">
        <v>35</v>
      </c>
      <c r="I276">
        <v>-1</v>
      </c>
      <c r="J276">
        <v>-2</v>
      </c>
      <c r="K276">
        <v>0</v>
      </c>
      <c r="L276">
        <v>1621</v>
      </c>
      <c r="T276">
        <v>20090616</v>
      </c>
      <c r="U276">
        <v>6173</v>
      </c>
      <c r="V276">
        <v>6251</v>
      </c>
      <c r="W276">
        <v>6133</v>
      </c>
      <c r="X276">
        <v>6208</v>
      </c>
      <c r="Y276">
        <v>98988</v>
      </c>
      <c r="Z276">
        <v>-35</v>
      </c>
      <c r="AA276">
        <v>35</v>
      </c>
      <c r="AB276">
        <v>0</v>
      </c>
      <c r="AC276">
        <v>0.4</v>
      </c>
      <c r="AD276">
        <v>0</v>
      </c>
      <c r="AE276">
        <v>6464.625</v>
      </c>
      <c r="AF276">
        <v>6654.25</v>
      </c>
      <c r="AG276">
        <v>0</v>
      </c>
      <c r="AH276">
        <v>0</v>
      </c>
      <c r="AI276">
        <v>-2</v>
      </c>
      <c r="AJ276">
        <v>0</v>
      </c>
      <c r="AK276">
        <v>350</v>
      </c>
    </row>
    <row r="277" spans="1:37" x14ac:dyDescent="0.25">
      <c r="A277">
        <v>0</v>
      </c>
      <c r="B277">
        <v>0.4</v>
      </c>
      <c r="C277">
        <v>-1</v>
      </c>
      <c r="D277">
        <v>6378.25</v>
      </c>
      <c r="E277">
        <v>6626.7</v>
      </c>
      <c r="F277">
        <v>0</v>
      </c>
      <c r="G277">
        <v>-38</v>
      </c>
      <c r="H277">
        <v>-28</v>
      </c>
      <c r="I277">
        <v>-1</v>
      </c>
      <c r="J277">
        <v>-2</v>
      </c>
      <c r="K277">
        <v>132</v>
      </c>
      <c r="L277">
        <v>1753</v>
      </c>
      <c r="T277">
        <v>20090617</v>
      </c>
      <c r="U277">
        <v>6170</v>
      </c>
      <c r="V277">
        <v>6211</v>
      </c>
      <c r="W277">
        <v>6106</v>
      </c>
      <c r="X277">
        <v>6142</v>
      </c>
      <c r="Y277">
        <v>45281</v>
      </c>
      <c r="Z277">
        <v>-38</v>
      </c>
      <c r="AA277">
        <v>-28</v>
      </c>
      <c r="AB277">
        <v>0</v>
      </c>
      <c r="AC277">
        <v>0.4</v>
      </c>
      <c r="AD277">
        <v>0</v>
      </c>
      <c r="AE277">
        <v>6378.25</v>
      </c>
      <c r="AF277">
        <v>6626.7</v>
      </c>
      <c r="AG277">
        <v>0</v>
      </c>
      <c r="AH277">
        <v>0</v>
      </c>
      <c r="AI277">
        <v>-2</v>
      </c>
      <c r="AJ277">
        <v>132</v>
      </c>
      <c r="AK277">
        <v>482</v>
      </c>
    </row>
    <row r="278" spans="1:37" x14ac:dyDescent="0.25">
      <c r="A278">
        <v>0</v>
      </c>
      <c r="B278">
        <v>0.3</v>
      </c>
      <c r="C278">
        <v>-1</v>
      </c>
      <c r="D278">
        <v>6309.125</v>
      </c>
      <c r="E278">
        <v>6597.8</v>
      </c>
      <c r="F278">
        <v>0</v>
      </c>
      <c r="G278">
        <v>-12</v>
      </c>
      <c r="H278">
        <v>-40</v>
      </c>
      <c r="I278">
        <v>-1</v>
      </c>
      <c r="J278">
        <v>-2</v>
      </c>
      <c r="K278">
        <v>104</v>
      </c>
      <c r="L278">
        <v>1857</v>
      </c>
      <c r="T278">
        <v>20090618</v>
      </c>
      <c r="U278">
        <v>6130</v>
      </c>
      <c r="V278">
        <v>6205</v>
      </c>
      <c r="W278">
        <v>5994</v>
      </c>
      <c r="X278">
        <v>6090</v>
      </c>
      <c r="Y278">
        <v>124089</v>
      </c>
      <c r="Z278">
        <v>-12</v>
      </c>
      <c r="AA278">
        <v>-40</v>
      </c>
      <c r="AB278">
        <v>0</v>
      </c>
      <c r="AC278">
        <v>0.3</v>
      </c>
      <c r="AD278">
        <v>0</v>
      </c>
      <c r="AE278">
        <v>6309.125</v>
      </c>
      <c r="AF278">
        <v>6597.8</v>
      </c>
      <c r="AG278">
        <v>0</v>
      </c>
      <c r="AH278">
        <v>0</v>
      </c>
      <c r="AI278">
        <v>-2</v>
      </c>
      <c r="AJ278">
        <v>104</v>
      </c>
      <c r="AK278">
        <v>586</v>
      </c>
    </row>
    <row r="279" spans="1:37" x14ac:dyDescent="0.25">
      <c r="A279">
        <v>1</v>
      </c>
      <c r="B279">
        <v>0.3</v>
      </c>
      <c r="C279">
        <v>-1</v>
      </c>
      <c r="D279">
        <v>6274.75</v>
      </c>
      <c r="E279">
        <v>6571.15</v>
      </c>
      <c r="F279">
        <v>0</v>
      </c>
      <c r="G279">
        <v>0</v>
      </c>
      <c r="H279">
        <v>48</v>
      </c>
      <c r="I279">
        <v>-1</v>
      </c>
      <c r="J279">
        <v>-2</v>
      </c>
      <c r="K279">
        <v>-96</v>
      </c>
      <c r="L279">
        <v>1761</v>
      </c>
      <c r="T279">
        <v>20090619</v>
      </c>
      <c r="U279">
        <v>6090</v>
      </c>
      <c r="V279">
        <v>6150</v>
      </c>
      <c r="W279">
        <v>6045</v>
      </c>
      <c r="X279">
        <v>6138</v>
      </c>
      <c r="Y279">
        <v>91410</v>
      </c>
      <c r="Z279">
        <v>0</v>
      </c>
      <c r="AA279">
        <v>48</v>
      </c>
      <c r="AB279">
        <v>1</v>
      </c>
      <c r="AC279">
        <v>0.3</v>
      </c>
      <c r="AD279">
        <v>0</v>
      </c>
      <c r="AE279">
        <v>6274.75</v>
      </c>
      <c r="AF279">
        <v>6571.15</v>
      </c>
      <c r="AG279">
        <v>0</v>
      </c>
      <c r="AH279">
        <v>0</v>
      </c>
      <c r="AI279">
        <v>-2</v>
      </c>
      <c r="AJ279">
        <v>-96</v>
      </c>
      <c r="AK279">
        <v>490</v>
      </c>
    </row>
    <row r="280" spans="1:37" x14ac:dyDescent="0.25">
      <c r="A280">
        <v>1</v>
      </c>
      <c r="B280">
        <v>0.4</v>
      </c>
      <c r="C280">
        <v>-1</v>
      </c>
      <c r="D280">
        <v>6243.125</v>
      </c>
      <c r="E280">
        <v>6546.85</v>
      </c>
      <c r="F280">
        <v>0</v>
      </c>
      <c r="G280">
        <v>-1</v>
      </c>
      <c r="H280">
        <v>69</v>
      </c>
      <c r="I280">
        <v>-1</v>
      </c>
      <c r="J280">
        <v>-2</v>
      </c>
      <c r="K280">
        <v>-136</v>
      </c>
      <c r="L280">
        <v>1625</v>
      </c>
      <c r="T280">
        <v>20090622</v>
      </c>
      <c r="U280">
        <v>6137</v>
      </c>
      <c r="V280">
        <v>6264</v>
      </c>
      <c r="W280">
        <v>6075</v>
      </c>
      <c r="X280">
        <v>6206</v>
      </c>
      <c r="Y280">
        <v>96798</v>
      </c>
      <c r="Z280">
        <v>-1</v>
      </c>
      <c r="AA280">
        <v>69</v>
      </c>
      <c r="AB280">
        <v>1</v>
      </c>
      <c r="AC280">
        <v>0.4</v>
      </c>
      <c r="AD280">
        <v>0</v>
      </c>
      <c r="AE280">
        <v>6243.125</v>
      </c>
      <c r="AF280">
        <v>6546.85</v>
      </c>
      <c r="AG280">
        <v>0</v>
      </c>
      <c r="AH280">
        <v>0</v>
      </c>
      <c r="AI280">
        <v>-2</v>
      </c>
      <c r="AJ280">
        <v>-136</v>
      </c>
      <c r="AK280">
        <v>354</v>
      </c>
    </row>
    <row r="281" spans="1:37" x14ac:dyDescent="0.25">
      <c r="A281">
        <v>0</v>
      </c>
      <c r="B281">
        <v>0.4</v>
      </c>
      <c r="C281">
        <v>-1</v>
      </c>
      <c r="D281">
        <v>6187.625</v>
      </c>
      <c r="E281">
        <v>6514.25</v>
      </c>
      <c r="F281">
        <v>0</v>
      </c>
      <c r="G281">
        <v>-118</v>
      </c>
      <c r="H281">
        <v>-16</v>
      </c>
      <c r="I281">
        <v>-1</v>
      </c>
      <c r="J281">
        <v>-2</v>
      </c>
      <c r="K281">
        <v>268</v>
      </c>
      <c r="L281">
        <v>1893</v>
      </c>
      <c r="T281">
        <v>20090623</v>
      </c>
      <c r="U281">
        <v>6088</v>
      </c>
      <c r="V281">
        <v>6150</v>
      </c>
      <c r="W281">
        <v>6059</v>
      </c>
      <c r="X281">
        <v>6072</v>
      </c>
      <c r="Y281">
        <v>83086</v>
      </c>
      <c r="Z281">
        <v>-118</v>
      </c>
      <c r="AA281">
        <v>-16</v>
      </c>
      <c r="AB281">
        <v>0</v>
      </c>
      <c r="AC281">
        <v>0.4</v>
      </c>
      <c r="AD281">
        <v>0</v>
      </c>
      <c r="AE281">
        <v>6187.625</v>
      </c>
      <c r="AF281">
        <v>6514.25</v>
      </c>
      <c r="AG281">
        <v>0</v>
      </c>
      <c r="AH281">
        <v>0</v>
      </c>
      <c r="AI281">
        <v>-2</v>
      </c>
      <c r="AJ281">
        <v>268</v>
      </c>
      <c r="AK281">
        <v>622</v>
      </c>
    </row>
    <row r="282" spans="1:37" x14ac:dyDescent="0.25">
      <c r="A282">
        <v>1</v>
      </c>
      <c r="B282">
        <v>0.4</v>
      </c>
      <c r="C282">
        <v>-1</v>
      </c>
      <c r="D282">
        <v>6171.875</v>
      </c>
      <c r="E282">
        <v>6497.5</v>
      </c>
      <c r="F282">
        <v>0</v>
      </c>
      <c r="G282">
        <v>17</v>
      </c>
      <c r="H282">
        <v>222</v>
      </c>
      <c r="I282">
        <v>-1</v>
      </c>
      <c r="J282">
        <v>-2</v>
      </c>
      <c r="K282">
        <v>-478</v>
      </c>
      <c r="L282">
        <v>1415</v>
      </c>
      <c r="T282">
        <v>20090624</v>
      </c>
      <c r="U282">
        <v>6089</v>
      </c>
      <c r="V282">
        <v>6494</v>
      </c>
      <c r="W282">
        <v>6073</v>
      </c>
      <c r="X282">
        <v>6311</v>
      </c>
      <c r="Y282">
        <v>143028</v>
      </c>
      <c r="Z282">
        <v>17</v>
      </c>
      <c r="AA282">
        <v>222</v>
      </c>
      <c r="AB282">
        <v>1</v>
      </c>
      <c r="AC282">
        <v>0.4</v>
      </c>
      <c r="AD282">
        <v>0</v>
      </c>
      <c r="AE282">
        <v>6171.875</v>
      </c>
      <c r="AF282">
        <v>6497.5</v>
      </c>
      <c r="AG282">
        <v>0</v>
      </c>
      <c r="AH282">
        <v>0</v>
      </c>
      <c r="AI282">
        <v>-2</v>
      </c>
      <c r="AJ282">
        <v>-478</v>
      </c>
      <c r="AK282">
        <v>144</v>
      </c>
    </row>
    <row r="283" spans="1:37" x14ac:dyDescent="0.25">
      <c r="A283">
        <v>1</v>
      </c>
      <c r="B283">
        <v>0.4</v>
      </c>
      <c r="C283">
        <v>-1</v>
      </c>
      <c r="D283">
        <v>6194.5</v>
      </c>
      <c r="E283">
        <v>6470.35</v>
      </c>
      <c r="F283">
        <v>0</v>
      </c>
      <c r="G283">
        <v>-5</v>
      </c>
      <c r="H283">
        <v>83</v>
      </c>
      <c r="I283">
        <v>-1</v>
      </c>
      <c r="J283">
        <v>-2</v>
      </c>
      <c r="K283">
        <v>-156</v>
      </c>
      <c r="L283">
        <v>1259</v>
      </c>
      <c r="T283">
        <v>20090625</v>
      </c>
      <c r="U283">
        <v>6306</v>
      </c>
      <c r="V283">
        <v>6427</v>
      </c>
      <c r="W283">
        <v>6295</v>
      </c>
      <c r="X283">
        <v>6389</v>
      </c>
      <c r="Y283">
        <v>101697</v>
      </c>
      <c r="Z283">
        <v>-5</v>
      </c>
      <c r="AA283">
        <v>83</v>
      </c>
      <c r="AB283">
        <v>1</v>
      </c>
      <c r="AC283">
        <v>0.4</v>
      </c>
      <c r="AD283">
        <v>0</v>
      </c>
      <c r="AE283">
        <v>6194.5</v>
      </c>
      <c r="AF283">
        <v>6470.35</v>
      </c>
      <c r="AG283">
        <v>0</v>
      </c>
      <c r="AH283">
        <v>0</v>
      </c>
      <c r="AI283">
        <v>-2</v>
      </c>
      <c r="AJ283">
        <v>-156</v>
      </c>
      <c r="AK283">
        <v>-12</v>
      </c>
    </row>
    <row r="284" spans="1:37" x14ac:dyDescent="0.25">
      <c r="A284">
        <v>1</v>
      </c>
      <c r="B284">
        <v>0.5</v>
      </c>
      <c r="C284">
        <v>-1</v>
      </c>
      <c r="D284">
        <v>6217.375</v>
      </c>
      <c r="E284">
        <v>6442.2</v>
      </c>
      <c r="F284">
        <v>0</v>
      </c>
      <c r="G284">
        <v>16</v>
      </c>
      <c r="H284">
        <v>-14</v>
      </c>
      <c r="I284">
        <v>-1</v>
      </c>
      <c r="J284">
        <v>-2</v>
      </c>
      <c r="K284">
        <v>-4</v>
      </c>
      <c r="L284">
        <v>1255</v>
      </c>
      <c r="T284">
        <v>20090626</v>
      </c>
      <c r="U284">
        <v>6405</v>
      </c>
      <c r="V284">
        <v>6432</v>
      </c>
      <c r="W284">
        <v>6361</v>
      </c>
      <c r="X284">
        <v>6391</v>
      </c>
      <c r="Y284">
        <v>76133</v>
      </c>
      <c r="Z284">
        <v>16</v>
      </c>
      <c r="AA284">
        <v>-14</v>
      </c>
      <c r="AB284">
        <v>1</v>
      </c>
      <c r="AC284">
        <v>0.5</v>
      </c>
      <c r="AD284">
        <v>0</v>
      </c>
      <c r="AE284">
        <v>6217.375</v>
      </c>
      <c r="AF284">
        <v>6442.2</v>
      </c>
      <c r="AG284">
        <v>0</v>
      </c>
      <c r="AH284">
        <v>0</v>
      </c>
      <c r="AI284">
        <v>-2</v>
      </c>
      <c r="AJ284">
        <v>-4</v>
      </c>
      <c r="AK284">
        <v>-16</v>
      </c>
    </row>
    <row r="285" spans="1:37" x14ac:dyDescent="0.25">
      <c r="A285">
        <v>0</v>
      </c>
      <c r="B285">
        <v>0.5</v>
      </c>
      <c r="C285">
        <v>-1</v>
      </c>
      <c r="D285">
        <v>6242.75</v>
      </c>
      <c r="E285">
        <v>6413.65</v>
      </c>
      <c r="F285">
        <v>0</v>
      </c>
      <c r="G285">
        <v>24</v>
      </c>
      <c r="H285">
        <v>-70</v>
      </c>
      <c r="I285">
        <v>-1</v>
      </c>
      <c r="J285">
        <v>-2</v>
      </c>
      <c r="K285">
        <v>92</v>
      </c>
      <c r="L285">
        <v>1347</v>
      </c>
      <c r="T285">
        <v>20090629</v>
      </c>
      <c r="U285">
        <v>6415</v>
      </c>
      <c r="V285">
        <v>6436</v>
      </c>
      <c r="W285">
        <v>6305</v>
      </c>
      <c r="X285">
        <v>6345</v>
      </c>
      <c r="Y285">
        <v>92593</v>
      </c>
      <c r="Z285">
        <v>24</v>
      </c>
      <c r="AA285">
        <v>-70</v>
      </c>
      <c r="AB285">
        <v>0</v>
      </c>
      <c r="AC285">
        <v>0.5</v>
      </c>
      <c r="AD285">
        <v>0</v>
      </c>
      <c r="AE285">
        <v>6242.75</v>
      </c>
      <c r="AF285">
        <v>6413.65</v>
      </c>
      <c r="AG285">
        <v>0</v>
      </c>
      <c r="AH285">
        <v>0</v>
      </c>
      <c r="AI285">
        <v>-2</v>
      </c>
      <c r="AJ285">
        <v>92</v>
      </c>
      <c r="AK285">
        <v>76</v>
      </c>
    </row>
    <row r="286" spans="1:37" x14ac:dyDescent="0.25">
      <c r="A286">
        <v>1</v>
      </c>
      <c r="B286">
        <v>0.6</v>
      </c>
      <c r="C286">
        <v>-1</v>
      </c>
      <c r="D286">
        <v>6279.375</v>
      </c>
      <c r="E286">
        <v>6387.9</v>
      </c>
      <c r="F286">
        <v>0</v>
      </c>
      <c r="G286">
        <v>76</v>
      </c>
      <c r="H286">
        <v>-38</v>
      </c>
      <c r="I286">
        <v>-1</v>
      </c>
      <c r="J286">
        <v>-2</v>
      </c>
      <c r="K286">
        <v>-76</v>
      </c>
      <c r="L286">
        <v>1271</v>
      </c>
      <c r="T286">
        <v>20090630</v>
      </c>
      <c r="U286">
        <v>6421</v>
      </c>
      <c r="V286">
        <v>6450</v>
      </c>
      <c r="W286">
        <v>6301</v>
      </c>
      <c r="X286">
        <v>6383</v>
      </c>
      <c r="Y286">
        <v>97549</v>
      </c>
      <c r="Z286">
        <v>76</v>
      </c>
      <c r="AA286">
        <v>-38</v>
      </c>
      <c r="AB286">
        <v>1</v>
      </c>
      <c r="AC286">
        <v>0.6</v>
      </c>
      <c r="AD286">
        <v>-1</v>
      </c>
      <c r="AE286">
        <v>6279.375</v>
      </c>
      <c r="AF286">
        <v>6387.9</v>
      </c>
      <c r="AG286">
        <v>0</v>
      </c>
      <c r="AH286">
        <v>-1</v>
      </c>
      <c r="AI286">
        <v>-2</v>
      </c>
      <c r="AJ286">
        <v>-76</v>
      </c>
      <c r="AK286">
        <v>0</v>
      </c>
    </row>
    <row r="287" spans="1:37" x14ac:dyDescent="0.25">
      <c r="A287">
        <v>1</v>
      </c>
      <c r="B287">
        <v>0.7</v>
      </c>
      <c r="C287">
        <v>-1</v>
      </c>
      <c r="D287">
        <v>6326.75</v>
      </c>
      <c r="E287">
        <v>6374.55</v>
      </c>
      <c r="F287">
        <v>0</v>
      </c>
      <c r="G287">
        <v>31</v>
      </c>
      <c r="H287">
        <v>103</v>
      </c>
      <c r="I287">
        <v>-1</v>
      </c>
      <c r="J287">
        <v>-2</v>
      </c>
      <c r="K287">
        <v>-268</v>
      </c>
      <c r="L287">
        <v>1003</v>
      </c>
      <c r="T287">
        <v>20090701</v>
      </c>
      <c r="U287">
        <v>6414</v>
      </c>
      <c r="V287">
        <v>6546</v>
      </c>
      <c r="W287">
        <v>6361</v>
      </c>
      <c r="X287">
        <v>6517</v>
      </c>
      <c r="Y287">
        <v>108188</v>
      </c>
      <c r="Z287">
        <v>31</v>
      </c>
      <c r="AA287">
        <v>103</v>
      </c>
      <c r="AB287">
        <v>1</v>
      </c>
      <c r="AC287">
        <v>0.7</v>
      </c>
      <c r="AD287">
        <v>-1</v>
      </c>
      <c r="AE287">
        <v>6326.75</v>
      </c>
      <c r="AF287">
        <v>6374.55</v>
      </c>
      <c r="AG287">
        <v>0</v>
      </c>
      <c r="AH287">
        <v>-1</v>
      </c>
      <c r="AI287">
        <v>-2</v>
      </c>
      <c r="AJ287">
        <v>-268</v>
      </c>
      <c r="AK287">
        <v>-268</v>
      </c>
    </row>
    <row r="288" spans="1:37" x14ac:dyDescent="0.25">
      <c r="A288">
        <v>1</v>
      </c>
      <c r="B288">
        <v>0.8</v>
      </c>
      <c r="C288">
        <v>-1</v>
      </c>
      <c r="D288">
        <v>6374.75</v>
      </c>
      <c r="E288">
        <v>6364.55</v>
      </c>
      <c r="F288">
        <v>1</v>
      </c>
      <c r="G288">
        <v>8</v>
      </c>
      <c r="H288">
        <v>65</v>
      </c>
      <c r="I288">
        <v>1</v>
      </c>
      <c r="J288">
        <v>-2</v>
      </c>
      <c r="K288">
        <v>-146</v>
      </c>
      <c r="L288">
        <v>857</v>
      </c>
      <c r="T288">
        <v>20090702</v>
      </c>
      <c r="U288">
        <v>6525</v>
      </c>
      <c r="V288">
        <v>6626</v>
      </c>
      <c r="W288">
        <v>6517</v>
      </c>
      <c r="X288">
        <v>6590</v>
      </c>
      <c r="Y288">
        <v>96176</v>
      </c>
      <c r="Z288">
        <v>8</v>
      </c>
      <c r="AA288">
        <v>65</v>
      </c>
      <c r="AB288">
        <v>1</v>
      </c>
      <c r="AC288">
        <v>0.8</v>
      </c>
      <c r="AD288">
        <v>-1</v>
      </c>
      <c r="AE288">
        <v>6374.75</v>
      </c>
      <c r="AF288">
        <v>6364.55</v>
      </c>
      <c r="AG288">
        <v>1</v>
      </c>
      <c r="AH288">
        <v>1</v>
      </c>
      <c r="AI288">
        <v>-2</v>
      </c>
      <c r="AJ288">
        <v>-146</v>
      </c>
      <c r="AK288">
        <v>-414</v>
      </c>
    </row>
    <row r="289" spans="1:37" x14ac:dyDescent="0.25">
      <c r="A289">
        <v>1</v>
      </c>
      <c r="B289">
        <v>0.8</v>
      </c>
      <c r="C289">
        <v>-1</v>
      </c>
      <c r="D289">
        <v>6441</v>
      </c>
      <c r="E289">
        <v>6353</v>
      </c>
      <c r="F289">
        <v>0</v>
      </c>
      <c r="G289">
        <v>-43</v>
      </c>
      <c r="H289">
        <v>55</v>
      </c>
      <c r="I289">
        <v>-1</v>
      </c>
      <c r="J289">
        <v>-1</v>
      </c>
      <c r="K289">
        <v>31</v>
      </c>
      <c r="L289">
        <v>888</v>
      </c>
      <c r="T289">
        <v>20090703</v>
      </c>
      <c r="U289">
        <v>6547</v>
      </c>
      <c r="V289">
        <v>6633</v>
      </c>
      <c r="W289">
        <v>6520</v>
      </c>
      <c r="X289">
        <v>6602</v>
      </c>
      <c r="Y289">
        <v>91558</v>
      </c>
      <c r="Z289">
        <v>-43</v>
      </c>
      <c r="AA289">
        <v>55</v>
      </c>
      <c r="AB289">
        <v>1</v>
      </c>
      <c r="AC289">
        <v>0.8</v>
      </c>
      <c r="AD289">
        <v>-1</v>
      </c>
      <c r="AE289">
        <v>6441</v>
      </c>
      <c r="AF289">
        <v>6353</v>
      </c>
      <c r="AG289">
        <v>0</v>
      </c>
      <c r="AH289">
        <v>-1</v>
      </c>
      <c r="AI289">
        <v>-1</v>
      </c>
      <c r="AJ289">
        <v>31</v>
      </c>
      <c r="AK289">
        <v>-383</v>
      </c>
    </row>
    <row r="290" spans="1:37" x14ac:dyDescent="0.25">
      <c r="A290">
        <v>0</v>
      </c>
      <c r="B290">
        <v>0.7</v>
      </c>
      <c r="C290">
        <v>-1</v>
      </c>
      <c r="D290">
        <v>6475.625</v>
      </c>
      <c r="E290">
        <v>6350.25</v>
      </c>
      <c r="F290">
        <v>0</v>
      </c>
      <c r="G290">
        <v>17</v>
      </c>
      <c r="H290">
        <v>-31</v>
      </c>
      <c r="I290">
        <v>-1</v>
      </c>
      <c r="J290">
        <v>-2</v>
      </c>
      <c r="K290">
        <v>45</v>
      </c>
      <c r="L290">
        <v>933</v>
      </c>
      <c r="T290">
        <v>20090706</v>
      </c>
      <c r="U290">
        <v>6619</v>
      </c>
      <c r="V290">
        <v>6631</v>
      </c>
      <c r="W290">
        <v>6527</v>
      </c>
      <c r="X290">
        <v>6588</v>
      </c>
      <c r="Y290">
        <v>90726</v>
      </c>
      <c r="Z290">
        <v>17</v>
      </c>
      <c r="AA290">
        <v>-31</v>
      </c>
      <c r="AB290">
        <v>0</v>
      </c>
      <c r="AC290">
        <v>0.7</v>
      </c>
      <c r="AD290">
        <v>-1</v>
      </c>
      <c r="AE290">
        <v>6475.625</v>
      </c>
      <c r="AF290">
        <v>6350.25</v>
      </c>
      <c r="AG290">
        <v>0</v>
      </c>
      <c r="AH290">
        <v>-1</v>
      </c>
      <c r="AI290">
        <v>-2</v>
      </c>
      <c r="AJ290">
        <v>45</v>
      </c>
      <c r="AK290">
        <v>-338</v>
      </c>
    </row>
    <row r="291" spans="1:37" x14ac:dyDescent="0.25">
      <c r="A291">
        <v>1</v>
      </c>
      <c r="B291">
        <v>0.8</v>
      </c>
      <c r="C291">
        <v>-1</v>
      </c>
      <c r="D291">
        <v>6510.125</v>
      </c>
      <c r="E291">
        <v>6362.85</v>
      </c>
      <c r="F291">
        <v>0</v>
      </c>
      <c r="G291">
        <v>0</v>
      </c>
      <c r="H291">
        <v>77</v>
      </c>
      <c r="I291">
        <v>-1</v>
      </c>
      <c r="J291">
        <v>-2</v>
      </c>
      <c r="K291">
        <v>-154</v>
      </c>
      <c r="L291">
        <v>779</v>
      </c>
      <c r="T291">
        <v>20090707</v>
      </c>
      <c r="U291">
        <v>6588</v>
      </c>
      <c r="V291">
        <v>6710</v>
      </c>
      <c r="W291">
        <v>6578</v>
      </c>
      <c r="X291">
        <v>6665</v>
      </c>
      <c r="Y291">
        <v>97559</v>
      </c>
      <c r="Z291">
        <v>0</v>
      </c>
      <c r="AA291">
        <v>77</v>
      </c>
      <c r="AB291">
        <v>1</v>
      </c>
      <c r="AC291">
        <v>0.8</v>
      </c>
      <c r="AD291">
        <v>-1</v>
      </c>
      <c r="AE291">
        <v>6510.125</v>
      </c>
      <c r="AF291">
        <v>6362.85</v>
      </c>
      <c r="AG291">
        <v>0</v>
      </c>
      <c r="AH291">
        <v>-1</v>
      </c>
      <c r="AI291">
        <v>-2</v>
      </c>
      <c r="AJ291">
        <v>-154</v>
      </c>
      <c r="AK291">
        <v>-492</v>
      </c>
    </row>
    <row r="292" spans="1:37" x14ac:dyDescent="0.25">
      <c r="A292">
        <v>0</v>
      </c>
      <c r="B292">
        <v>0.7</v>
      </c>
      <c r="C292">
        <v>-1</v>
      </c>
      <c r="D292">
        <v>6539.625</v>
      </c>
      <c r="E292">
        <v>6371.25</v>
      </c>
      <c r="F292">
        <v>0</v>
      </c>
      <c r="G292">
        <v>-44</v>
      </c>
      <c r="H292">
        <v>6</v>
      </c>
      <c r="I292">
        <v>-1</v>
      </c>
      <c r="J292">
        <v>-2</v>
      </c>
      <c r="K292">
        <v>76</v>
      </c>
      <c r="L292">
        <v>855</v>
      </c>
      <c r="T292">
        <v>20090708</v>
      </c>
      <c r="U292">
        <v>6621</v>
      </c>
      <c r="V292">
        <v>6637</v>
      </c>
      <c r="W292">
        <v>6558</v>
      </c>
      <c r="X292">
        <v>6627</v>
      </c>
      <c r="Y292">
        <v>92427</v>
      </c>
      <c r="Z292">
        <v>-44</v>
      </c>
      <c r="AA292">
        <v>6</v>
      </c>
      <c r="AB292">
        <v>0</v>
      </c>
      <c r="AC292">
        <v>0.7</v>
      </c>
      <c r="AD292">
        <v>-1</v>
      </c>
      <c r="AE292">
        <v>6539.625</v>
      </c>
      <c r="AF292">
        <v>6371.25</v>
      </c>
      <c r="AG292">
        <v>0</v>
      </c>
      <c r="AH292">
        <v>-1</v>
      </c>
      <c r="AI292">
        <v>-2</v>
      </c>
      <c r="AJ292">
        <v>76</v>
      </c>
      <c r="AK292">
        <v>-416</v>
      </c>
    </row>
    <row r="293" spans="1:37" x14ac:dyDescent="0.25">
      <c r="A293">
        <v>1</v>
      </c>
      <c r="B293">
        <v>0.7</v>
      </c>
      <c r="C293">
        <v>-1</v>
      </c>
      <c r="D293">
        <v>6587</v>
      </c>
      <c r="E293">
        <v>6381.65</v>
      </c>
      <c r="F293">
        <v>0</v>
      </c>
      <c r="G293">
        <v>0</v>
      </c>
      <c r="H293">
        <v>97</v>
      </c>
      <c r="I293">
        <v>-1</v>
      </c>
      <c r="J293">
        <v>-2</v>
      </c>
      <c r="K293">
        <v>-194</v>
      </c>
      <c r="L293">
        <v>661</v>
      </c>
      <c r="T293">
        <v>20090709</v>
      </c>
      <c r="U293">
        <v>6627</v>
      </c>
      <c r="V293">
        <v>6778</v>
      </c>
      <c r="W293">
        <v>6625</v>
      </c>
      <c r="X293">
        <v>6724</v>
      </c>
      <c r="Y293">
        <v>101366</v>
      </c>
      <c r="Z293">
        <v>0</v>
      </c>
      <c r="AA293">
        <v>97</v>
      </c>
      <c r="AB293">
        <v>1</v>
      </c>
      <c r="AC293">
        <v>0.7</v>
      </c>
      <c r="AD293">
        <v>-1</v>
      </c>
      <c r="AE293">
        <v>6587</v>
      </c>
      <c r="AF293">
        <v>6381.65</v>
      </c>
      <c r="AG293">
        <v>0</v>
      </c>
      <c r="AH293">
        <v>-1</v>
      </c>
      <c r="AI293">
        <v>-2</v>
      </c>
      <c r="AJ293">
        <v>-194</v>
      </c>
      <c r="AK293">
        <v>-610</v>
      </c>
    </row>
    <row r="294" spans="1:37" x14ac:dyDescent="0.25">
      <c r="A294">
        <v>1</v>
      </c>
      <c r="B294">
        <v>0.7</v>
      </c>
      <c r="C294">
        <v>-1</v>
      </c>
      <c r="D294">
        <v>6633.5</v>
      </c>
      <c r="E294">
        <v>6397.55</v>
      </c>
      <c r="F294">
        <v>0</v>
      </c>
      <c r="G294">
        <v>11</v>
      </c>
      <c r="H294">
        <v>20</v>
      </c>
      <c r="I294">
        <v>-1</v>
      </c>
      <c r="J294">
        <v>-2</v>
      </c>
      <c r="K294">
        <v>-62</v>
      </c>
      <c r="L294">
        <v>599</v>
      </c>
      <c r="T294">
        <v>20090710</v>
      </c>
      <c r="U294">
        <v>6735</v>
      </c>
      <c r="V294">
        <v>6755</v>
      </c>
      <c r="W294">
        <v>6676</v>
      </c>
      <c r="X294">
        <v>6755</v>
      </c>
      <c r="Y294">
        <v>73581</v>
      </c>
      <c r="Z294">
        <v>11</v>
      </c>
      <c r="AA294">
        <v>20</v>
      </c>
      <c r="AB294">
        <v>1</v>
      </c>
      <c r="AC294">
        <v>0.7</v>
      </c>
      <c r="AD294">
        <v>-1</v>
      </c>
      <c r="AE294">
        <v>6633.5</v>
      </c>
      <c r="AF294">
        <v>6397.55</v>
      </c>
      <c r="AG294">
        <v>0</v>
      </c>
      <c r="AH294">
        <v>-1</v>
      </c>
      <c r="AI294">
        <v>-2</v>
      </c>
      <c r="AJ294">
        <v>-62</v>
      </c>
      <c r="AK294">
        <v>-672</v>
      </c>
    </row>
    <row r="295" spans="1:37" x14ac:dyDescent="0.25">
      <c r="A295">
        <v>0</v>
      </c>
      <c r="B295">
        <v>0.7</v>
      </c>
      <c r="C295">
        <v>-1</v>
      </c>
      <c r="D295">
        <v>6627.5</v>
      </c>
      <c r="E295">
        <v>6410.6</v>
      </c>
      <c r="F295">
        <v>0</v>
      </c>
      <c r="G295">
        <v>-16</v>
      </c>
      <c r="H295">
        <v>-270</v>
      </c>
      <c r="I295">
        <v>-1</v>
      </c>
      <c r="J295">
        <v>-2</v>
      </c>
      <c r="K295">
        <v>572</v>
      </c>
      <c r="L295">
        <v>1171</v>
      </c>
      <c r="T295">
        <v>20090713</v>
      </c>
      <c r="U295">
        <v>6739</v>
      </c>
      <c r="V295">
        <v>6765</v>
      </c>
      <c r="W295">
        <v>6443</v>
      </c>
      <c r="X295">
        <v>6469</v>
      </c>
      <c r="Y295">
        <v>118983</v>
      </c>
      <c r="Z295">
        <v>-16</v>
      </c>
      <c r="AA295">
        <v>-270</v>
      </c>
      <c r="AB295">
        <v>0</v>
      </c>
      <c r="AC295">
        <v>0.7</v>
      </c>
      <c r="AD295">
        <v>-1</v>
      </c>
      <c r="AE295">
        <v>6627.5</v>
      </c>
      <c r="AF295">
        <v>6410.6</v>
      </c>
      <c r="AG295">
        <v>0</v>
      </c>
      <c r="AH295">
        <v>-1</v>
      </c>
      <c r="AI295">
        <v>-2</v>
      </c>
      <c r="AJ295">
        <v>572</v>
      </c>
      <c r="AK295">
        <v>-100</v>
      </c>
    </row>
    <row r="296" spans="1:37" x14ac:dyDescent="0.25">
      <c r="A296">
        <v>1</v>
      </c>
      <c r="B296">
        <v>0.7</v>
      </c>
      <c r="C296">
        <v>-1</v>
      </c>
      <c r="D296">
        <v>6626.25</v>
      </c>
      <c r="E296">
        <v>6429.2</v>
      </c>
      <c r="F296">
        <v>0</v>
      </c>
      <c r="G296">
        <v>71</v>
      </c>
      <c r="H296">
        <v>40</v>
      </c>
      <c r="I296">
        <v>-1</v>
      </c>
      <c r="J296">
        <v>-2</v>
      </c>
      <c r="K296">
        <v>-222</v>
      </c>
      <c r="L296">
        <v>949</v>
      </c>
      <c r="T296">
        <v>20090714</v>
      </c>
      <c r="U296">
        <v>6540</v>
      </c>
      <c r="V296">
        <v>6609</v>
      </c>
      <c r="W296">
        <v>6507</v>
      </c>
      <c r="X296">
        <v>6580</v>
      </c>
      <c r="Y296">
        <v>74525</v>
      </c>
      <c r="Z296">
        <v>71</v>
      </c>
      <c r="AA296">
        <v>40</v>
      </c>
      <c r="AB296">
        <v>1</v>
      </c>
      <c r="AC296">
        <v>0.7</v>
      </c>
      <c r="AD296">
        <v>-1</v>
      </c>
      <c r="AE296">
        <v>6626.25</v>
      </c>
      <c r="AF296">
        <v>6429.2</v>
      </c>
      <c r="AG296">
        <v>0</v>
      </c>
      <c r="AH296">
        <v>-1</v>
      </c>
      <c r="AI296">
        <v>-2</v>
      </c>
      <c r="AJ296">
        <v>-222</v>
      </c>
      <c r="AK296">
        <v>-322</v>
      </c>
    </row>
    <row r="297" spans="1:37" x14ac:dyDescent="0.25">
      <c r="A297">
        <v>1</v>
      </c>
      <c r="B297">
        <v>0.7</v>
      </c>
      <c r="C297">
        <v>-1</v>
      </c>
      <c r="D297">
        <v>6646.375</v>
      </c>
      <c r="E297">
        <v>6460.25</v>
      </c>
      <c r="F297">
        <v>0</v>
      </c>
      <c r="G297">
        <v>50</v>
      </c>
      <c r="H297">
        <v>133</v>
      </c>
      <c r="I297">
        <v>-1</v>
      </c>
      <c r="J297">
        <v>-2</v>
      </c>
      <c r="K297">
        <v>-366</v>
      </c>
      <c r="L297">
        <v>583</v>
      </c>
      <c r="T297">
        <v>20090715</v>
      </c>
      <c r="U297">
        <v>6630</v>
      </c>
      <c r="V297">
        <v>6782</v>
      </c>
      <c r="W297">
        <v>6625</v>
      </c>
      <c r="X297">
        <v>6763</v>
      </c>
      <c r="Y297">
        <v>65479</v>
      </c>
      <c r="Z297">
        <v>50</v>
      </c>
      <c r="AA297">
        <v>133</v>
      </c>
      <c r="AB297">
        <v>1</v>
      </c>
      <c r="AC297">
        <v>0.7</v>
      </c>
      <c r="AD297">
        <v>-1</v>
      </c>
      <c r="AE297">
        <v>6646.375</v>
      </c>
      <c r="AF297">
        <v>6460.25</v>
      </c>
      <c r="AG297">
        <v>0</v>
      </c>
      <c r="AH297">
        <v>-1</v>
      </c>
      <c r="AI297">
        <v>-2</v>
      </c>
      <c r="AJ297">
        <v>-366</v>
      </c>
      <c r="AK297">
        <v>-688</v>
      </c>
    </row>
    <row r="298" spans="1:37" x14ac:dyDescent="0.25">
      <c r="A298">
        <v>0</v>
      </c>
      <c r="B298">
        <v>0.6</v>
      </c>
      <c r="C298">
        <v>-1</v>
      </c>
      <c r="D298">
        <v>6661.5</v>
      </c>
      <c r="E298">
        <v>6491.2</v>
      </c>
      <c r="F298">
        <v>0</v>
      </c>
      <c r="G298">
        <v>-15</v>
      </c>
      <c r="H298">
        <v>-39</v>
      </c>
      <c r="I298">
        <v>-1</v>
      </c>
      <c r="J298">
        <v>-2</v>
      </c>
      <c r="K298">
        <v>108</v>
      </c>
      <c r="L298">
        <v>691</v>
      </c>
      <c r="T298">
        <v>20090716</v>
      </c>
      <c r="U298">
        <v>6748</v>
      </c>
      <c r="V298">
        <v>6785</v>
      </c>
      <c r="W298">
        <v>6661</v>
      </c>
      <c r="X298">
        <v>6709</v>
      </c>
      <c r="Y298">
        <v>90123</v>
      </c>
      <c r="Z298">
        <v>-15</v>
      </c>
      <c r="AA298">
        <v>-39</v>
      </c>
      <c r="AB298">
        <v>0</v>
      </c>
      <c r="AC298">
        <v>0.6</v>
      </c>
      <c r="AD298">
        <v>-1</v>
      </c>
      <c r="AE298">
        <v>6661.5</v>
      </c>
      <c r="AF298">
        <v>6491.2</v>
      </c>
      <c r="AG298">
        <v>0</v>
      </c>
      <c r="AH298">
        <v>-1</v>
      </c>
      <c r="AI298">
        <v>-2</v>
      </c>
      <c r="AJ298">
        <v>108</v>
      </c>
      <c r="AK298">
        <v>-580</v>
      </c>
    </row>
    <row r="299" spans="1:37" x14ac:dyDescent="0.25">
      <c r="A299">
        <v>1</v>
      </c>
      <c r="B299">
        <v>0.6</v>
      </c>
      <c r="C299">
        <v>-1</v>
      </c>
      <c r="D299">
        <v>6672.875</v>
      </c>
      <c r="E299">
        <v>6522.1</v>
      </c>
      <c r="F299">
        <v>0</v>
      </c>
      <c r="G299">
        <v>27</v>
      </c>
      <c r="H299">
        <v>20</v>
      </c>
      <c r="I299">
        <v>-1</v>
      </c>
      <c r="J299">
        <v>-2</v>
      </c>
      <c r="K299">
        <v>-94</v>
      </c>
      <c r="L299">
        <v>597</v>
      </c>
      <c r="T299">
        <v>20090717</v>
      </c>
      <c r="U299">
        <v>6736</v>
      </c>
      <c r="V299">
        <v>6802</v>
      </c>
      <c r="W299">
        <v>6700</v>
      </c>
      <c r="X299">
        <v>6756</v>
      </c>
      <c r="Y299">
        <v>79822</v>
      </c>
      <c r="Z299">
        <v>27</v>
      </c>
      <c r="AA299">
        <v>20</v>
      </c>
      <c r="AB299">
        <v>1</v>
      </c>
      <c r="AC299">
        <v>0.6</v>
      </c>
      <c r="AD299">
        <v>-1</v>
      </c>
      <c r="AE299">
        <v>6672.875</v>
      </c>
      <c r="AF299">
        <v>6522.1</v>
      </c>
      <c r="AG299">
        <v>0</v>
      </c>
      <c r="AH299">
        <v>-1</v>
      </c>
      <c r="AI299">
        <v>-2</v>
      </c>
      <c r="AJ299">
        <v>-94</v>
      </c>
      <c r="AK299">
        <v>-674</v>
      </c>
    </row>
    <row r="300" spans="1:37" x14ac:dyDescent="0.25">
      <c r="A300">
        <v>1</v>
      </c>
      <c r="B300">
        <v>0.7</v>
      </c>
      <c r="C300">
        <v>-1</v>
      </c>
      <c r="D300">
        <v>6701.875</v>
      </c>
      <c r="E300">
        <v>6554.75</v>
      </c>
      <c r="F300">
        <v>0</v>
      </c>
      <c r="G300">
        <v>83</v>
      </c>
      <c r="H300">
        <v>20</v>
      </c>
      <c r="I300">
        <v>-1</v>
      </c>
      <c r="J300">
        <v>-2</v>
      </c>
      <c r="K300">
        <v>-206</v>
      </c>
      <c r="L300">
        <v>391</v>
      </c>
      <c r="T300">
        <v>20090720</v>
      </c>
      <c r="U300">
        <v>6839</v>
      </c>
      <c r="V300">
        <v>6884</v>
      </c>
      <c r="W300">
        <v>6758</v>
      </c>
      <c r="X300">
        <v>6859</v>
      </c>
      <c r="Y300">
        <v>86215</v>
      </c>
      <c r="Z300">
        <v>83</v>
      </c>
      <c r="AA300">
        <v>20</v>
      </c>
      <c r="AB300">
        <v>1</v>
      </c>
      <c r="AC300">
        <v>0.7</v>
      </c>
      <c r="AD300">
        <v>-1</v>
      </c>
      <c r="AE300">
        <v>6701.875</v>
      </c>
      <c r="AF300">
        <v>6554.75</v>
      </c>
      <c r="AG300">
        <v>0</v>
      </c>
      <c r="AH300">
        <v>-1</v>
      </c>
      <c r="AI300">
        <v>-2</v>
      </c>
      <c r="AJ300">
        <v>-206</v>
      </c>
      <c r="AK300">
        <v>-880</v>
      </c>
    </row>
    <row r="301" spans="1:37" x14ac:dyDescent="0.25">
      <c r="A301">
        <v>1</v>
      </c>
      <c r="B301">
        <v>0.7</v>
      </c>
      <c r="C301">
        <v>-1</v>
      </c>
      <c r="D301">
        <v>6720.625</v>
      </c>
      <c r="E301">
        <v>6594.85</v>
      </c>
      <c r="F301">
        <v>0</v>
      </c>
      <c r="G301">
        <v>41</v>
      </c>
      <c r="H301">
        <v>-26</v>
      </c>
      <c r="I301">
        <v>-1</v>
      </c>
      <c r="J301">
        <v>-2</v>
      </c>
      <c r="K301">
        <v>-30</v>
      </c>
      <c r="L301">
        <v>361</v>
      </c>
      <c r="T301">
        <v>20090721</v>
      </c>
      <c r="U301">
        <v>6900</v>
      </c>
      <c r="V301">
        <v>6912</v>
      </c>
      <c r="W301">
        <v>6795</v>
      </c>
      <c r="X301">
        <v>6874</v>
      </c>
      <c r="Y301">
        <v>91335</v>
      </c>
      <c r="Z301">
        <v>41</v>
      </c>
      <c r="AA301">
        <v>-26</v>
      </c>
      <c r="AB301">
        <v>1</v>
      </c>
      <c r="AC301">
        <v>0.7</v>
      </c>
      <c r="AD301">
        <v>-1</v>
      </c>
      <c r="AE301">
        <v>6720.625</v>
      </c>
      <c r="AF301">
        <v>6594.85</v>
      </c>
      <c r="AG301">
        <v>0</v>
      </c>
      <c r="AH301">
        <v>-1</v>
      </c>
      <c r="AI301">
        <v>-2</v>
      </c>
      <c r="AJ301">
        <v>-30</v>
      </c>
      <c r="AK301">
        <v>-910</v>
      </c>
    </row>
    <row r="302" spans="1:37" x14ac:dyDescent="0.25">
      <c r="A302">
        <v>1</v>
      </c>
      <c r="B302">
        <v>0.8</v>
      </c>
      <c r="C302">
        <v>-1</v>
      </c>
      <c r="D302">
        <v>6736.875</v>
      </c>
      <c r="E302">
        <v>6623.55</v>
      </c>
      <c r="F302">
        <v>0</v>
      </c>
      <c r="G302">
        <v>-4</v>
      </c>
      <c r="H302">
        <v>15</v>
      </c>
      <c r="I302">
        <v>-1</v>
      </c>
      <c r="J302">
        <v>-2</v>
      </c>
      <c r="K302">
        <v>-22</v>
      </c>
      <c r="L302">
        <v>339</v>
      </c>
      <c r="T302">
        <v>20090722</v>
      </c>
      <c r="U302">
        <v>6870</v>
      </c>
      <c r="V302">
        <v>6959</v>
      </c>
      <c r="W302">
        <v>6847</v>
      </c>
      <c r="X302">
        <v>6885</v>
      </c>
      <c r="Y302">
        <v>93603</v>
      </c>
      <c r="Z302">
        <v>-4</v>
      </c>
      <c r="AA302">
        <v>15</v>
      </c>
      <c r="AB302">
        <v>1</v>
      </c>
      <c r="AC302">
        <v>0.8</v>
      </c>
      <c r="AD302">
        <v>-1</v>
      </c>
      <c r="AE302">
        <v>6736.875</v>
      </c>
      <c r="AF302">
        <v>6623.55</v>
      </c>
      <c r="AG302">
        <v>0</v>
      </c>
      <c r="AH302">
        <v>-1</v>
      </c>
      <c r="AI302">
        <v>-2</v>
      </c>
      <c r="AJ302">
        <v>-22</v>
      </c>
      <c r="AK302">
        <v>-932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302"/>
  <sheetViews>
    <sheetView tabSelected="1" topLeftCell="N4" zoomScale="110" zoomScaleNormal="110" workbookViewId="0">
      <selection activeCell="T88" sqref="T88"/>
    </sheetView>
  </sheetViews>
  <sheetFormatPr defaultRowHeight="16.5" x14ac:dyDescent="0.25"/>
  <cols>
    <col min="9" max="10" width="14" customWidth="1"/>
    <col min="11" max="11" width="10.5" bestFit="1" customWidth="1"/>
    <col min="12" max="12" width="9.75" customWidth="1"/>
    <col min="19" max="19" width="10.75" customWidth="1"/>
    <col min="20" max="20" width="9.625" bestFit="1" customWidth="1"/>
  </cols>
  <sheetData>
    <row r="1" spans="1:26" ht="17.25" thickBot="1" x14ac:dyDescent="0.3">
      <c r="A1" s="117" t="s">
        <v>19</v>
      </c>
      <c r="B1" s="118"/>
      <c r="C1" s="118"/>
      <c r="D1" s="118"/>
      <c r="E1" s="118"/>
      <c r="F1" s="119"/>
      <c r="G1" s="96"/>
      <c r="H1" s="96"/>
      <c r="I1" s="22" t="s">
        <v>15</v>
      </c>
      <c r="J1" s="96" t="s">
        <v>23</v>
      </c>
      <c r="K1" s="118" t="s">
        <v>26</v>
      </c>
      <c r="L1" s="118"/>
      <c r="M1" s="120" t="s">
        <v>11</v>
      </c>
      <c r="N1" s="121"/>
      <c r="O1" s="122"/>
      <c r="P1" s="117" t="s">
        <v>16</v>
      </c>
      <c r="Q1" s="118"/>
      <c r="R1" s="119"/>
      <c r="T1" s="2"/>
    </row>
    <row r="2" spans="1:26" ht="17.25" thickBot="1" x14ac:dyDescent="0.3">
      <c r="A2" s="6" t="s">
        <v>5</v>
      </c>
      <c r="B2" s="7" t="s">
        <v>6</v>
      </c>
      <c r="C2" s="7" t="s">
        <v>7</v>
      </c>
      <c r="D2" s="7" t="s">
        <v>8</v>
      </c>
      <c r="E2" s="7" t="s">
        <v>9</v>
      </c>
      <c r="F2" s="10" t="s">
        <v>10</v>
      </c>
      <c r="G2" s="56" t="s">
        <v>91</v>
      </c>
      <c r="H2" s="56" t="s">
        <v>92</v>
      </c>
      <c r="I2" s="12"/>
      <c r="J2" s="23"/>
      <c r="K2" s="13" t="s">
        <v>22</v>
      </c>
      <c r="L2" s="104" t="s">
        <v>25</v>
      </c>
      <c r="M2" s="12" t="s">
        <v>0</v>
      </c>
      <c r="N2" s="15" t="s">
        <v>14</v>
      </c>
      <c r="O2" s="14" t="s">
        <v>1</v>
      </c>
      <c r="P2" s="23" t="s">
        <v>17</v>
      </c>
      <c r="Q2" s="23" t="s">
        <v>18</v>
      </c>
      <c r="R2" s="101" t="s">
        <v>13</v>
      </c>
      <c r="T2" s="2"/>
      <c r="U2" s="11"/>
      <c r="V2" s="11"/>
      <c r="W2" s="11"/>
      <c r="X2" s="2"/>
      <c r="Y2" s="2"/>
      <c r="Z2" s="11"/>
    </row>
    <row r="3" spans="1:26" ht="17.25" thickBot="1" x14ac:dyDescent="0.3">
      <c r="A3" s="44">
        <v>20080513</v>
      </c>
      <c r="B3" s="45">
        <v>8862</v>
      </c>
      <c r="C3" s="45">
        <v>9044</v>
      </c>
      <c r="D3" s="45">
        <v>8851</v>
      </c>
      <c r="E3" s="45">
        <v>9030</v>
      </c>
      <c r="F3" s="46">
        <v>62502</v>
      </c>
      <c r="G3" s="60" t="s">
        <v>62</v>
      </c>
      <c r="H3" s="60">
        <f>E3-B3</f>
        <v>168</v>
      </c>
      <c r="I3" s="32"/>
      <c r="J3" s="2"/>
      <c r="K3" s="2"/>
      <c r="L3" s="2"/>
      <c r="M3" s="109"/>
      <c r="N3" s="8"/>
      <c r="O3" s="9"/>
      <c r="P3" s="2"/>
      <c r="Q3" s="2"/>
      <c r="R3" s="9"/>
      <c r="T3" s="2"/>
      <c r="U3" s="11"/>
      <c r="V3" s="11"/>
      <c r="W3" s="11"/>
      <c r="X3" s="2"/>
      <c r="Y3" s="2"/>
      <c r="Z3" s="11"/>
    </row>
    <row r="4" spans="1:26" ht="17.25" thickBot="1" x14ac:dyDescent="0.3">
      <c r="A4" s="47">
        <v>20080514</v>
      </c>
      <c r="B4" s="48">
        <v>9030</v>
      </c>
      <c r="C4" s="48">
        <v>9088</v>
      </c>
      <c r="D4" s="48">
        <v>9002</v>
      </c>
      <c r="E4" s="48">
        <v>9058</v>
      </c>
      <c r="F4" s="49">
        <v>53185</v>
      </c>
      <c r="G4" s="58">
        <f>B4-E3</f>
        <v>0</v>
      </c>
      <c r="H4" s="58">
        <f t="shared" ref="H4:H67" si="0">E4-B4</f>
        <v>28</v>
      </c>
      <c r="I4" s="34"/>
      <c r="J4" s="97" t="s">
        <v>29</v>
      </c>
      <c r="K4" s="125" t="s">
        <v>30</v>
      </c>
      <c r="L4" s="125"/>
      <c r="M4" s="110">
        <f>IF(E4&gt;E3,1,0)</f>
        <v>1</v>
      </c>
      <c r="N4" s="123" t="s">
        <v>36</v>
      </c>
      <c r="O4" s="124"/>
      <c r="P4" s="126" t="s">
        <v>37</v>
      </c>
      <c r="Q4" s="124"/>
      <c r="R4" s="102"/>
    </row>
    <row r="5" spans="1:26" ht="17.25" thickBot="1" x14ac:dyDescent="0.3">
      <c r="A5" s="47">
        <v>20080515</v>
      </c>
      <c r="B5" s="48">
        <v>9088</v>
      </c>
      <c r="C5" s="48">
        <v>9209</v>
      </c>
      <c r="D5" s="48">
        <v>9088</v>
      </c>
      <c r="E5" s="48">
        <v>9182</v>
      </c>
      <c r="F5" s="49">
        <v>53467</v>
      </c>
      <c r="G5" s="58">
        <f t="shared" ref="G5:G68" si="1">B5-E4</f>
        <v>30</v>
      </c>
      <c r="H5" s="58">
        <f t="shared" si="0"/>
        <v>94</v>
      </c>
      <c r="I5" s="33"/>
      <c r="J5" s="95">
        <v>2</v>
      </c>
      <c r="K5" s="90" t="s">
        <v>27</v>
      </c>
      <c r="L5" s="105">
        <f ca="1">L302</f>
        <v>3016</v>
      </c>
      <c r="M5" s="110">
        <f t="shared" ref="M5:M68" si="2">IF(E5&gt;E4,1,0)</f>
        <v>1</v>
      </c>
      <c r="N5" s="16" t="s">
        <v>2</v>
      </c>
      <c r="O5" s="17">
        <v>15</v>
      </c>
      <c r="P5" s="29" t="s">
        <v>20</v>
      </c>
      <c r="Q5" s="25">
        <v>10</v>
      </c>
      <c r="R5" s="9"/>
    </row>
    <row r="6" spans="1:26" ht="17.25" thickBot="1" x14ac:dyDescent="0.3">
      <c r="A6" s="47">
        <v>20080516</v>
      </c>
      <c r="B6" s="48">
        <v>9220</v>
      </c>
      <c r="C6" s="48">
        <v>9286</v>
      </c>
      <c r="D6" s="48">
        <v>9191</v>
      </c>
      <c r="E6" s="48">
        <v>9248</v>
      </c>
      <c r="F6" s="49">
        <v>54949</v>
      </c>
      <c r="G6" s="58">
        <f t="shared" si="1"/>
        <v>38</v>
      </c>
      <c r="H6" s="58">
        <f t="shared" si="0"/>
        <v>28</v>
      </c>
      <c r="I6" s="32"/>
      <c r="J6" s="76" t="s">
        <v>24</v>
      </c>
      <c r="K6" s="30" t="s">
        <v>12</v>
      </c>
      <c r="L6" s="106">
        <f>E302-B53</f>
        <v>-58</v>
      </c>
      <c r="M6" s="110">
        <f t="shared" si="2"/>
        <v>1</v>
      </c>
      <c r="N6" s="18" t="s">
        <v>3</v>
      </c>
      <c r="O6" s="19">
        <v>0.25</v>
      </c>
      <c r="P6" s="35" t="s">
        <v>21</v>
      </c>
      <c r="Q6" s="26">
        <v>20</v>
      </c>
      <c r="R6" s="9"/>
    </row>
    <row r="7" spans="1:26" ht="17.25" thickBot="1" x14ac:dyDescent="0.3">
      <c r="A7" s="47">
        <v>20080519</v>
      </c>
      <c r="B7" s="48">
        <v>9269</v>
      </c>
      <c r="C7" s="48">
        <v>9379</v>
      </c>
      <c r="D7" s="48">
        <v>9243</v>
      </c>
      <c r="E7" s="48">
        <v>9370</v>
      </c>
      <c r="F7" s="49">
        <v>44485</v>
      </c>
      <c r="G7" s="58">
        <f t="shared" si="1"/>
        <v>21</v>
      </c>
      <c r="H7" s="58">
        <f t="shared" si="0"/>
        <v>101</v>
      </c>
      <c r="I7" s="32"/>
      <c r="J7" s="37">
        <v>-2</v>
      </c>
      <c r="K7" s="31" t="s">
        <v>28</v>
      </c>
      <c r="L7" s="107">
        <f ca="1">L5-L6</f>
        <v>3074</v>
      </c>
      <c r="M7" s="110">
        <f t="shared" si="2"/>
        <v>1</v>
      </c>
      <c r="N7" s="20" t="s">
        <v>4</v>
      </c>
      <c r="O7" s="21">
        <v>0.75</v>
      </c>
      <c r="P7" s="11"/>
      <c r="Q7" s="11"/>
      <c r="R7" s="9"/>
    </row>
    <row r="8" spans="1:26" hidden="1" x14ac:dyDescent="0.25">
      <c r="A8" s="47">
        <v>20080520</v>
      </c>
      <c r="B8" s="48">
        <v>9356</v>
      </c>
      <c r="C8" s="48">
        <v>9388</v>
      </c>
      <c r="D8" s="48">
        <v>9059</v>
      </c>
      <c r="E8" s="48">
        <v>9074</v>
      </c>
      <c r="F8" s="49">
        <v>77082</v>
      </c>
      <c r="G8" s="58">
        <f t="shared" si="1"/>
        <v>-14</v>
      </c>
      <c r="H8" s="58">
        <f t="shared" si="0"/>
        <v>-282</v>
      </c>
      <c r="I8" s="33"/>
      <c r="J8" s="11"/>
      <c r="K8" s="2"/>
      <c r="L8" s="2"/>
      <c r="M8" s="110">
        <f t="shared" si="2"/>
        <v>0</v>
      </c>
      <c r="N8" s="36"/>
      <c r="O8" s="24"/>
      <c r="P8" s="11"/>
      <c r="Q8" s="11"/>
      <c r="R8" s="24"/>
    </row>
    <row r="9" spans="1:26" hidden="1" x14ac:dyDescent="0.25">
      <c r="A9" s="47">
        <v>20080521</v>
      </c>
      <c r="B9" s="48">
        <v>9029</v>
      </c>
      <c r="C9" s="48">
        <v>9069</v>
      </c>
      <c r="D9" s="48">
        <v>8955</v>
      </c>
      <c r="E9" s="48">
        <v>8990</v>
      </c>
      <c r="F9" s="49">
        <v>46450</v>
      </c>
      <c r="G9" s="58">
        <f t="shared" si="1"/>
        <v>-45</v>
      </c>
      <c r="H9" s="58">
        <f t="shared" si="0"/>
        <v>-39</v>
      </c>
      <c r="I9" s="33"/>
      <c r="J9" s="11"/>
      <c r="K9" s="2"/>
      <c r="L9" s="2"/>
      <c r="M9" s="110">
        <f t="shared" si="2"/>
        <v>0</v>
      </c>
      <c r="N9" s="36"/>
      <c r="O9" s="24"/>
      <c r="P9" s="11"/>
      <c r="Q9" s="11"/>
      <c r="R9" s="24"/>
    </row>
    <row r="10" spans="1:26" hidden="1" x14ac:dyDescent="0.25">
      <c r="A10" s="47">
        <v>20080522</v>
      </c>
      <c r="B10" s="48">
        <v>8875</v>
      </c>
      <c r="C10" s="48">
        <v>9019</v>
      </c>
      <c r="D10" s="48">
        <v>8865</v>
      </c>
      <c r="E10" s="48">
        <v>9018</v>
      </c>
      <c r="F10" s="49">
        <v>56768</v>
      </c>
      <c r="G10" s="58">
        <f t="shared" si="1"/>
        <v>-115</v>
      </c>
      <c r="H10" s="58">
        <f t="shared" si="0"/>
        <v>143</v>
      </c>
      <c r="I10" s="33"/>
      <c r="J10" s="11"/>
      <c r="K10" s="2"/>
      <c r="L10" s="2"/>
      <c r="M10" s="110">
        <f t="shared" si="2"/>
        <v>1</v>
      </c>
      <c r="N10" s="36"/>
      <c r="O10" s="24"/>
      <c r="P10" s="11"/>
      <c r="Q10" s="11"/>
      <c r="R10" s="24"/>
    </row>
    <row r="11" spans="1:26" hidden="1" x14ac:dyDescent="0.25">
      <c r="A11" s="47">
        <v>20080523</v>
      </c>
      <c r="B11" s="48">
        <v>9000</v>
      </c>
      <c r="C11" s="48">
        <v>9027</v>
      </c>
      <c r="D11" s="48">
        <v>8778</v>
      </c>
      <c r="E11" s="48">
        <v>8786</v>
      </c>
      <c r="F11" s="49">
        <v>70595</v>
      </c>
      <c r="G11" s="58">
        <f t="shared" si="1"/>
        <v>-18</v>
      </c>
      <c r="H11" s="58">
        <f t="shared" si="0"/>
        <v>-214</v>
      </c>
      <c r="I11" s="33"/>
      <c r="J11" s="11"/>
      <c r="K11" s="2"/>
      <c r="L11" s="2"/>
      <c r="M11" s="110">
        <f t="shared" si="2"/>
        <v>0</v>
      </c>
      <c r="N11" s="36"/>
      <c r="O11" s="24"/>
      <c r="P11" s="11"/>
      <c r="Q11" s="11"/>
      <c r="R11" s="24"/>
    </row>
    <row r="12" spans="1:26" hidden="1" x14ac:dyDescent="0.25">
      <c r="A12" s="47">
        <v>20080526</v>
      </c>
      <c r="B12" s="48">
        <v>8736</v>
      </c>
      <c r="C12" s="48">
        <v>8790</v>
      </c>
      <c r="D12" s="48">
        <v>8689</v>
      </c>
      <c r="E12" s="48">
        <v>8699</v>
      </c>
      <c r="F12" s="49">
        <v>55917</v>
      </c>
      <c r="G12" s="58">
        <f t="shared" si="1"/>
        <v>-50</v>
      </c>
      <c r="H12" s="58">
        <f t="shared" si="0"/>
        <v>-37</v>
      </c>
      <c r="I12" s="33"/>
      <c r="J12" s="11"/>
      <c r="K12" s="2"/>
      <c r="L12" s="2"/>
      <c r="M12" s="110">
        <f t="shared" si="2"/>
        <v>0</v>
      </c>
      <c r="N12" s="36"/>
      <c r="O12" s="24"/>
      <c r="P12" s="11"/>
      <c r="Q12" s="11"/>
      <c r="R12" s="24"/>
    </row>
    <row r="13" spans="1:26" hidden="1" x14ac:dyDescent="0.25">
      <c r="A13" s="47">
        <v>20080527</v>
      </c>
      <c r="B13" s="48">
        <v>8701</v>
      </c>
      <c r="C13" s="48">
        <v>8785</v>
      </c>
      <c r="D13" s="48">
        <v>8700</v>
      </c>
      <c r="E13" s="48">
        <v>8776</v>
      </c>
      <c r="F13" s="49">
        <v>44009</v>
      </c>
      <c r="G13" s="58">
        <f t="shared" si="1"/>
        <v>2</v>
      </c>
      <c r="H13" s="58">
        <f t="shared" si="0"/>
        <v>75</v>
      </c>
      <c r="I13" s="33"/>
      <c r="J13" s="11"/>
      <c r="K13" s="2"/>
      <c r="L13" s="2"/>
      <c r="M13" s="110">
        <f t="shared" si="2"/>
        <v>1</v>
      </c>
      <c r="N13" s="36"/>
      <c r="O13" s="24"/>
      <c r="P13" s="11"/>
      <c r="Q13" s="11"/>
      <c r="R13" s="24"/>
    </row>
    <row r="14" spans="1:26" hidden="1" x14ac:dyDescent="0.25">
      <c r="A14" s="47">
        <v>20080528</v>
      </c>
      <c r="B14" s="48">
        <v>8790</v>
      </c>
      <c r="C14" s="48">
        <v>8795</v>
      </c>
      <c r="D14" s="48">
        <v>8625</v>
      </c>
      <c r="E14" s="48">
        <v>8646</v>
      </c>
      <c r="F14" s="49">
        <v>65689</v>
      </c>
      <c r="G14" s="58">
        <f t="shared" si="1"/>
        <v>14</v>
      </c>
      <c r="H14" s="58">
        <f t="shared" si="0"/>
        <v>-144</v>
      </c>
      <c r="I14" s="33"/>
      <c r="J14" s="11"/>
      <c r="K14" s="2"/>
      <c r="L14" s="2"/>
      <c r="M14" s="110">
        <f t="shared" si="2"/>
        <v>0</v>
      </c>
      <c r="N14" s="36"/>
      <c r="O14" s="24"/>
      <c r="P14" s="11"/>
      <c r="Q14" s="11"/>
      <c r="R14" s="24"/>
    </row>
    <row r="15" spans="1:26" hidden="1" x14ac:dyDescent="0.25">
      <c r="A15" s="47">
        <v>20080529</v>
      </c>
      <c r="B15" s="48">
        <v>8729</v>
      </c>
      <c r="C15" s="48">
        <v>8771</v>
      </c>
      <c r="D15" s="48">
        <v>8650</v>
      </c>
      <c r="E15" s="48">
        <v>8720</v>
      </c>
      <c r="F15" s="49">
        <v>56717</v>
      </c>
      <c r="G15" s="58">
        <f t="shared" si="1"/>
        <v>83</v>
      </c>
      <c r="H15" s="58">
        <f t="shared" si="0"/>
        <v>-9</v>
      </c>
      <c r="I15" s="33"/>
      <c r="J15" s="11"/>
      <c r="K15" s="2"/>
      <c r="L15" s="2"/>
      <c r="M15" s="110">
        <f t="shared" si="2"/>
        <v>1</v>
      </c>
      <c r="N15" s="36"/>
      <c r="O15" s="24"/>
      <c r="P15" s="11"/>
      <c r="Q15" s="11"/>
      <c r="R15" s="24"/>
    </row>
    <row r="16" spans="1:26" hidden="1" x14ac:dyDescent="0.25">
      <c r="A16" s="47">
        <v>20080530</v>
      </c>
      <c r="B16" s="48">
        <v>8765</v>
      </c>
      <c r="C16" s="48">
        <v>8780</v>
      </c>
      <c r="D16" s="48">
        <v>8536</v>
      </c>
      <c r="E16" s="48">
        <v>8648</v>
      </c>
      <c r="F16" s="49">
        <v>75934</v>
      </c>
      <c r="G16" s="58">
        <f t="shared" si="1"/>
        <v>45</v>
      </c>
      <c r="H16" s="58">
        <f t="shared" si="0"/>
        <v>-117</v>
      </c>
      <c r="I16" s="33"/>
      <c r="J16" s="11"/>
      <c r="K16" s="2"/>
      <c r="L16" s="2"/>
      <c r="M16" s="110">
        <f t="shared" si="2"/>
        <v>0</v>
      </c>
      <c r="N16" s="36"/>
      <c r="O16" s="24"/>
      <c r="P16" s="11"/>
      <c r="Q16" s="11"/>
      <c r="R16" s="24"/>
    </row>
    <row r="17" spans="1:18" hidden="1" x14ac:dyDescent="0.25">
      <c r="A17" s="47">
        <v>20080602</v>
      </c>
      <c r="B17" s="48">
        <v>8635</v>
      </c>
      <c r="C17" s="48">
        <v>8709</v>
      </c>
      <c r="D17" s="48">
        <v>8603</v>
      </c>
      <c r="E17" s="48">
        <v>8700</v>
      </c>
      <c r="F17" s="49">
        <v>49485</v>
      </c>
      <c r="G17" s="58">
        <f t="shared" si="1"/>
        <v>-13</v>
      </c>
      <c r="H17" s="58">
        <f t="shared" si="0"/>
        <v>65</v>
      </c>
      <c r="I17" s="33"/>
      <c r="J17" s="11"/>
      <c r="K17" s="2"/>
      <c r="L17" s="2"/>
      <c r="M17" s="110">
        <f t="shared" si="2"/>
        <v>1</v>
      </c>
      <c r="N17" s="36"/>
      <c r="O17" s="24"/>
      <c r="P17" s="11"/>
      <c r="Q17" s="11"/>
      <c r="R17" s="24"/>
    </row>
    <row r="18" spans="1:18" hidden="1" x14ac:dyDescent="0.25">
      <c r="A18" s="47">
        <v>20080603</v>
      </c>
      <c r="B18" s="48">
        <v>8644</v>
      </c>
      <c r="C18" s="48">
        <v>8657</v>
      </c>
      <c r="D18" s="48">
        <v>8510</v>
      </c>
      <c r="E18" s="48">
        <v>8540</v>
      </c>
      <c r="F18" s="49">
        <v>55795</v>
      </c>
      <c r="G18" s="58">
        <f t="shared" si="1"/>
        <v>-56</v>
      </c>
      <c r="H18" s="58">
        <f t="shared" si="0"/>
        <v>-104</v>
      </c>
      <c r="I18" s="33"/>
      <c r="J18" s="11"/>
      <c r="K18" s="2"/>
      <c r="L18" s="2"/>
      <c r="M18" s="110">
        <f t="shared" si="2"/>
        <v>0</v>
      </c>
      <c r="N18" s="36"/>
      <c r="O18" s="24"/>
      <c r="P18" s="11"/>
      <c r="Q18" s="11"/>
      <c r="R18" s="24"/>
    </row>
    <row r="19" spans="1:18" hidden="1" x14ac:dyDescent="0.25">
      <c r="A19" s="47">
        <v>20080604</v>
      </c>
      <c r="B19" s="48">
        <v>8540</v>
      </c>
      <c r="C19" s="48">
        <v>8619</v>
      </c>
      <c r="D19" s="48">
        <v>8526</v>
      </c>
      <c r="E19" s="48">
        <v>8592</v>
      </c>
      <c r="F19" s="49">
        <v>44302</v>
      </c>
      <c r="G19" s="58">
        <f t="shared" si="1"/>
        <v>0</v>
      </c>
      <c r="H19" s="58">
        <f t="shared" si="0"/>
        <v>52</v>
      </c>
      <c r="I19" s="33"/>
      <c r="J19" s="11"/>
      <c r="K19" s="2"/>
      <c r="L19" s="2"/>
      <c r="M19" s="110">
        <f t="shared" si="2"/>
        <v>1</v>
      </c>
      <c r="N19" s="36"/>
      <c r="O19" s="24"/>
      <c r="P19" s="11"/>
      <c r="Q19" s="11"/>
      <c r="R19" s="24"/>
    </row>
    <row r="20" spans="1:18" hidden="1" x14ac:dyDescent="0.25">
      <c r="A20" s="47">
        <v>20080605</v>
      </c>
      <c r="B20" s="48">
        <v>8571</v>
      </c>
      <c r="C20" s="48">
        <v>8765</v>
      </c>
      <c r="D20" s="48">
        <v>8472</v>
      </c>
      <c r="E20" s="48">
        <v>8725</v>
      </c>
      <c r="F20" s="49">
        <v>78503</v>
      </c>
      <c r="G20" s="58">
        <f t="shared" si="1"/>
        <v>-21</v>
      </c>
      <c r="H20" s="58">
        <f t="shared" si="0"/>
        <v>154</v>
      </c>
      <c r="I20" s="33"/>
      <c r="J20" s="11"/>
      <c r="K20" s="2"/>
      <c r="L20" s="2"/>
      <c r="M20" s="110">
        <f t="shared" si="2"/>
        <v>1</v>
      </c>
      <c r="N20" s="36"/>
      <c r="O20" s="24"/>
      <c r="P20" s="11"/>
      <c r="Q20" s="11"/>
      <c r="R20" s="24"/>
    </row>
    <row r="21" spans="1:18" hidden="1" x14ac:dyDescent="0.25">
      <c r="A21" s="47">
        <v>20080606</v>
      </c>
      <c r="B21" s="48">
        <v>8788</v>
      </c>
      <c r="C21" s="48">
        <v>8798</v>
      </c>
      <c r="D21" s="48">
        <v>8712</v>
      </c>
      <c r="E21" s="48">
        <v>8756</v>
      </c>
      <c r="F21" s="49">
        <v>49130</v>
      </c>
      <c r="G21" s="58">
        <f t="shared" si="1"/>
        <v>63</v>
      </c>
      <c r="H21" s="58">
        <f t="shared" si="0"/>
        <v>-32</v>
      </c>
      <c r="I21" s="33"/>
      <c r="J21" s="11"/>
      <c r="K21" s="2"/>
      <c r="L21" s="2"/>
      <c r="M21" s="110">
        <f t="shared" si="2"/>
        <v>1</v>
      </c>
      <c r="N21" s="36"/>
      <c r="O21" s="24"/>
      <c r="P21" s="11"/>
      <c r="Q21" s="11"/>
      <c r="R21" s="24"/>
    </row>
    <row r="22" spans="1:18" hidden="1" x14ac:dyDescent="0.25">
      <c r="A22" s="47">
        <v>20080609</v>
      </c>
      <c r="B22" s="48">
        <v>8520</v>
      </c>
      <c r="C22" s="48">
        <v>8555</v>
      </c>
      <c r="D22" s="48">
        <v>8492</v>
      </c>
      <c r="E22" s="48">
        <v>8529</v>
      </c>
      <c r="F22" s="49">
        <v>44676</v>
      </c>
      <c r="G22" s="58">
        <f t="shared" si="1"/>
        <v>-236</v>
      </c>
      <c r="H22" s="58">
        <f t="shared" si="0"/>
        <v>9</v>
      </c>
      <c r="I22" s="33"/>
      <c r="J22" s="11"/>
      <c r="K22" s="2"/>
      <c r="L22" s="2"/>
      <c r="M22" s="110">
        <f t="shared" si="2"/>
        <v>0</v>
      </c>
      <c r="N22" s="36"/>
      <c r="O22" s="24"/>
      <c r="P22" s="11"/>
      <c r="Q22" s="11"/>
      <c r="R22" s="24"/>
    </row>
    <row r="23" spans="1:18" hidden="1" x14ac:dyDescent="0.25">
      <c r="A23" s="47">
        <v>20080610</v>
      </c>
      <c r="B23" s="48">
        <v>8529</v>
      </c>
      <c r="C23" s="48">
        <v>8565</v>
      </c>
      <c r="D23" s="48">
        <v>8321</v>
      </c>
      <c r="E23" s="48">
        <v>8340</v>
      </c>
      <c r="F23" s="49">
        <v>75201</v>
      </c>
      <c r="G23" s="58">
        <f t="shared" si="1"/>
        <v>0</v>
      </c>
      <c r="H23" s="58">
        <f t="shared" si="0"/>
        <v>-189</v>
      </c>
      <c r="I23" s="33"/>
      <c r="J23" s="11"/>
      <c r="K23" s="2"/>
      <c r="L23" s="2"/>
      <c r="M23" s="110">
        <f t="shared" si="2"/>
        <v>0</v>
      </c>
      <c r="N23" s="36"/>
      <c r="O23" s="24"/>
      <c r="P23" s="11"/>
      <c r="Q23" s="11"/>
      <c r="R23" s="24"/>
    </row>
    <row r="24" spans="1:18" hidden="1" x14ac:dyDescent="0.25">
      <c r="A24" s="47">
        <v>20080611</v>
      </c>
      <c r="B24" s="48">
        <v>8365</v>
      </c>
      <c r="C24" s="48">
        <v>8404</v>
      </c>
      <c r="D24" s="48">
        <v>8291</v>
      </c>
      <c r="E24" s="48">
        <v>8316</v>
      </c>
      <c r="F24" s="49">
        <v>58739</v>
      </c>
      <c r="G24" s="58">
        <f t="shared" si="1"/>
        <v>25</v>
      </c>
      <c r="H24" s="58">
        <f t="shared" si="0"/>
        <v>-49</v>
      </c>
      <c r="I24" s="33"/>
      <c r="J24" s="11"/>
      <c r="K24" s="2"/>
      <c r="L24" s="2"/>
      <c r="M24" s="110">
        <f t="shared" si="2"/>
        <v>0</v>
      </c>
      <c r="N24" s="36"/>
      <c r="O24" s="24"/>
      <c r="P24" s="11"/>
      <c r="Q24" s="11"/>
      <c r="R24" s="24"/>
    </row>
    <row r="25" spans="1:18" hidden="1" x14ac:dyDescent="0.25">
      <c r="A25" s="47">
        <v>20080612</v>
      </c>
      <c r="B25" s="48">
        <v>8199</v>
      </c>
      <c r="C25" s="48">
        <v>8204</v>
      </c>
      <c r="D25" s="48">
        <v>7999</v>
      </c>
      <c r="E25" s="48">
        <v>8043</v>
      </c>
      <c r="F25" s="49">
        <v>75451</v>
      </c>
      <c r="G25" s="58">
        <f t="shared" si="1"/>
        <v>-117</v>
      </c>
      <c r="H25" s="58">
        <f t="shared" si="0"/>
        <v>-156</v>
      </c>
      <c r="I25" s="33"/>
      <c r="J25" s="11"/>
      <c r="K25" s="2"/>
      <c r="L25" s="2"/>
      <c r="M25" s="110">
        <f t="shared" si="2"/>
        <v>0</v>
      </c>
      <c r="N25" s="36"/>
      <c r="O25" s="24"/>
      <c r="P25" s="11"/>
      <c r="Q25" s="11"/>
      <c r="R25" s="24"/>
    </row>
    <row r="26" spans="1:18" hidden="1" x14ac:dyDescent="0.25">
      <c r="A26" s="47">
        <v>20080613</v>
      </c>
      <c r="B26" s="48">
        <v>8068</v>
      </c>
      <c r="C26" s="48">
        <v>8140</v>
      </c>
      <c r="D26" s="48">
        <v>8002</v>
      </c>
      <c r="E26" s="48">
        <v>8043</v>
      </c>
      <c r="F26" s="49">
        <v>62762</v>
      </c>
      <c r="G26" s="58">
        <f t="shared" si="1"/>
        <v>25</v>
      </c>
      <c r="H26" s="58">
        <f t="shared" si="0"/>
        <v>-25</v>
      </c>
      <c r="I26" s="33"/>
      <c r="J26" s="11"/>
      <c r="K26" s="2"/>
      <c r="L26" s="2"/>
      <c r="M26" s="110">
        <f t="shared" si="2"/>
        <v>0</v>
      </c>
      <c r="N26" s="36"/>
      <c r="O26" s="24"/>
      <c r="P26" s="11"/>
      <c r="Q26" s="11"/>
      <c r="R26" s="24"/>
    </row>
    <row r="27" spans="1:18" hidden="1" x14ac:dyDescent="0.25">
      <c r="A27" s="47">
        <v>20080616</v>
      </c>
      <c r="B27" s="48">
        <v>8121</v>
      </c>
      <c r="C27" s="48">
        <v>8191</v>
      </c>
      <c r="D27" s="48">
        <v>8100</v>
      </c>
      <c r="E27" s="48">
        <v>8133</v>
      </c>
      <c r="F27" s="49">
        <v>50645</v>
      </c>
      <c r="G27" s="58">
        <f t="shared" si="1"/>
        <v>78</v>
      </c>
      <c r="H27" s="58">
        <f t="shared" si="0"/>
        <v>12</v>
      </c>
      <c r="I27" s="33"/>
      <c r="J27" s="11"/>
      <c r="K27" s="2"/>
      <c r="L27" s="2"/>
      <c r="M27" s="110">
        <f t="shared" si="2"/>
        <v>1</v>
      </c>
      <c r="N27" s="36"/>
      <c r="O27" s="24"/>
      <c r="P27" s="11"/>
      <c r="Q27" s="11"/>
      <c r="R27" s="24"/>
    </row>
    <row r="28" spans="1:18" hidden="1" x14ac:dyDescent="0.25">
      <c r="A28" s="47">
        <v>20080617</v>
      </c>
      <c r="B28" s="48">
        <v>8133</v>
      </c>
      <c r="C28" s="48">
        <v>8177</v>
      </c>
      <c r="D28" s="48">
        <v>8017</v>
      </c>
      <c r="E28" s="48">
        <v>8147</v>
      </c>
      <c r="F28" s="49">
        <v>62708</v>
      </c>
      <c r="G28" s="58">
        <f t="shared" si="1"/>
        <v>0</v>
      </c>
      <c r="H28" s="58">
        <f t="shared" si="0"/>
        <v>14</v>
      </c>
      <c r="I28" s="33"/>
      <c r="J28" s="11"/>
      <c r="K28" s="2"/>
      <c r="L28" s="2"/>
      <c r="M28" s="110">
        <f t="shared" si="2"/>
        <v>1</v>
      </c>
      <c r="N28" s="36"/>
      <c r="O28" s="24"/>
      <c r="P28" s="11"/>
      <c r="Q28" s="11"/>
      <c r="R28" s="24"/>
    </row>
    <row r="29" spans="1:18" hidden="1" x14ac:dyDescent="0.25">
      <c r="A29" s="47">
        <v>20080618</v>
      </c>
      <c r="B29" s="48">
        <v>8030</v>
      </c>
      <c r="C29" s="48">
        <v>8107</v>
      </c>
      <c r="D29" s="48">
        <v>8000</v>
      </c>
      <c r="E29" s="48">
        <v>8081</v>
      </c>
      <c r="F29" s="49">
        <v>34093</v>
      </c>
      <c r="G29" s="58">
        <f t="shared" si="1"/>
        <v>-117</v>
      </c>
      <c r="H29" s="58">
        <f t="shared" si="0"/>
        <v>51</v>
      </c>
      <c r="I29" s="33"/>
      <c r="J29" s="11"/>
      <c r="K29" s="2"/>
      <c r="L29" s="2"/>
      <c r="M29" s="110">
        <f t="shared" si="2"/>
        <v>0</v>
      </c>
      <c r="N29" s="36"/>
      <c r="O29" s="24"/>
      <c r="P29" s="11"/>
      <c r="Q29" s="11"/>
      <c r="R29" s="24"/>
    </row>
    <row r="30" spans="1:18" hidden="1" x14ac:dyDescent="0.25">
      <c r="A30" s="47">
        <v>20080619</v>
      </c>
      <c r="B30" s="48">
        <v>7980</v>
      </c>
      <c r="C30" s="48">
        <v>7980</v>
      </c>
      <c r="D30" s="48">
        <v>7886</v>
      </c>
      <c r="E30" s="48">
        <v>7890</v>
      </c>
      <c r="F30" s="49">
        <v>53288</v>
      </c>
      <c r="G30" s="58">
        <f t="shared" si="1"/>
        <v>-101</v>
      </c>
      <c r="H30" s="58">
        <f t="shared" si="0"/>
        <v>-90</v>
      </c>
      <c r="I30" s="33"/>
      <c r="J30" s="11"/>
      <c r="K30" s="2"/>
      <c r="L30" s="2"/>
      <c r="M30" s="110">
        <f t="shared" si="2"/>
        <v>0</v>
      </c>
      <c r="N30" s="36"/>
      <c r="O30" s="24"/>
      <c r="P30" s="11"/>
      <c r="Q30" s="11"/>
      <c r="R30" s="24"/>
    </row>
    <row r="31" spans="1:18" hidden="1" x14ac:dyDescent="0.25">
      <c r="A31" s="47">
        <v>20080620</v>
      </c>
      <c r="B31" s="48">
        <v>7910</v>
      </c>
      <c r="C31" s="48">
        <v>7937</v>
      </c>
      <c r="D31" s="48">
        <v>7723</v>
      </c>
      <c r="E31" s="48">
        <v>7778</v>
      </c>
      <c r="F31" s="49">
        <v>70541</v>
      </c>
      <c r="G31" s="58">
        <f t="shared" si="1"/>
        <v>20</v>
      </c>
      <c r="H31" s="58">
        <f t="shared" si="0"/>
        <v>-132</v>
      </c>
      <c r="I31" s="33"/>
      <c r="J31" s="11"/>
      <c r="K31" s="2"/>
      <c r="L31" s="2"/>
      <c r="M31" s="110">
        <f t="shared" si="2"/>
        <v>0</v>
      </c>
      <c r="N31" s="36"/>
      <c r="O31" s="24"/>
      <c r="P31" s="11"/>
      <c r="Q31" s="11"/>
      <c r="R31" s="24"/>
    </row>
    <row r="32" spans="1:18" hidden="1" x14ac:dyDescent="0.25">
      <c r="A32" s="47">
        <v>20080623</v>
      </c>
      <c r="B32" s="48">
        <v>7660</v>
      </c>
      <c r="C32" s="48">
        <v>7805</v>
      </c>
      <c r="D32" s="48">
        <v>7630</v>
      </c>
      <c r="E32" s="48">
        <v>7754</v>
      </c>
      <c r="F32" s="49">
        <v>63149</v>
      </c>
      <c r="G32" s="58">
        <f t="shared" si="1"/>
        <v>-118</v>
      </c>
      <c r="H32" s="58">
        <f t="shared" si="0"/>
        <v>94</v>
      </c>
      <c r="I32" s="33"/>
      <c r="J32" s="11"/>
      <c r="K32" s="2"/>
      <c r="L32" s="2"/>
      <c r="M32" s="110">
        <f t="shared" si="2"/>
        <v>0</v>
      </c>
      <c r="N32" s="36"/>
      <c r="O32" s="24"/>
      <c r="P32" s="11"/>
      <c r="Q32" s="11"/>
      <c r="R32" s="24"/>
    </row>
    <row r="33" spans="1:18" hidden="1" x14ac:dyDescent="0.25">
      <c r="A33" s="47">
        <v>20080624</v>
      </c>
      <c r="B33" s="48">
        <v>7715</v>
      </c>
      <c r="C33" s="48">
        <v>7782</v>
      </c>
      <c r="D33" s="48">
        <v>7645</v>
      </c>
      <c r="E33" s="48">
        <v>7693</v>
      </c>
      <c r="F33" s="49">
        <v>64046</v>
      </c>
      <c r="G33" s="58">
        <f t="shared" si="1"/>
        <v>-39</v>
      </c>
      <c r="H33" s="58">
        <f t="shared" si="0"/>
        <v>-22</v>
      </c>
      <c r="I33" s="33"/>
      <c r="J33" s="11"/>
      <c r="K33" s="2"/>
      <c r="L33" s="2"/>
      <c r="M33" s="110">
        <f t="shared" si="2"/>
        <v>0</v>
      </c>
      <c r="N33" s="36"/>
      <c r="O33" s="24"/>
      <c r="P33" s="11"/>
      <c r="Q33" s="11"/>
      <c r="R33" s="24"/>
    </row>
    <row r="34" spans="1:18" hidden="1" x14ac:dyDescent="0.25">
      <c r="A34" s="47">
        <v>20080625</v>
      </c>
      <c r="B34" s="48">
        <v>7671</v>
      </c>
      <c r="C34" s="48">
        <v>7759</v>
      </c>
      <c r="D34" s="48">
        <v>7605</v>
      </c>
      <c r="E34" s="48">
        <v>7753</v>
      </c>
      <c r="F34" s="49">
        <v>69317</v>
      </c>
      <c r="G34" s="58">
        <f t="shared" si="1"/>
        <v>-22</v>
      </c>
      <c r="H34" s="58">
        <f t="shared" si="0"/>
        <v>82</v>
      </c>
      <c r="I34" s="33"/>
      <c r="J34" s="11"/>
      <c r="K34" s="2"/>
      <c r="L34" s="2"/>
      <c r="M34" s="110">
        <f t="shared" si="2"/>
        <v>1</v>
      </c>
      <c r="N34" s="36"/>
      <c r="O34" s="24"/>
      <c r="P34" s="11"/>
      <c r="Q34" s="11"/>
      <c r="R34" s="24"/>
    </row>
    <row r="35" spans="1:18" hidden="1" x14ac:dyDescent="0.25">
      <c r="A35" s="47">
        <v>20080626</v>
      </c>
      <c r="B35" s="48">
        <v>7753</v>
      </c>
      <c r="C35" s="48">
        <v>7798</v>
      </c>
      <c r="D35" s="48">
        <v>7690</v>
      </c>
      <c r="E35" s="48">
        <v>7693</v>
      </c>
      <c r="F35" s="49">
        <v>60885</v>
      </c>
      <c r="G35" s="58">
        <f t="shared" si="1"/>
        <v>0</v>
      </c>
      <c r="H35" s="58">
        <f t="shared" si="0"/>
        <v>-60</v>
      </c>
      <c r="I35" s="33"/>
      <c r="J35" s="11"/>
      <c r="K35" s="2"/>
      <c r="L35" s="2"/>
      <c r="M35" s="110">
        <f t="shared" si="2"/>
        <v>0</v>
      </c>
      <c r="N35" s="36"/>
      <c r="O35" s="24"/>
      <c r="P35" s="11"/>
      <c r="Q35" s="11"/>
      <c r="R35" s="24"/>
    </row>
    <row r="36" spans="1:18" hidden="1" x14ac:dyDescent="0.25">
      <c r="A36" s="47">
        <v>20080627</v>
      </c>
      <c r="B36" s="48">
        <v>7381</v>
      </c>
      <c r="C36" s="48">
        <v>7460</v>
      </c>
      <c r="D36" s="48">
        <v>7341</v>
      </c>
      <c r="E36" s="48">
        <v>7416</v>
      </c>
      <c r="F36" s="49">
        <v>67430</v>
      </c>
      <c r="G36" s="58">
        <f t="shared" si="1"/>
        <v>-312</v>
      </c>
      <c r="H36" s="58">
        <f t="shared" si="0"/>
        <v>35</v>
      </c>
      <c r="I36" s="33"/>
      <c r="J36" s="11"/>
      <c r="K36" s="2"/>
      <c r="L36" s="2"/>
      <c r="M36" s="110">
        <f t="shared" si="2"/>
        <v>0</v>
      </c>
      <c r="N36" s="36"/>
      <c r="O36" s="24"/>
      <c r="P36" s="11"/>
      <c r="Q36" s="11"/>
      <c r="R36" s="24"/>
    </row>
    <row r="37" spans="1:18" hidden="1" x14ac:dyDescent="0.25">
      <c r="A37" s="47">
        <v>20080630</v>
      </c>
      <c r="B37" s="48">
        <v>7470</v>
      </c>
      <c r="C37" s="48">
        <v>7490</v>
      </c>
      <c r="D37" s="48">
        <v>7382</v>
      </c>
      <c r="E37" s="48">
        <v>7416</v>
      </c>
      <c r="F37" s="49">
        <v>51350</v>
      </c>
      <c r="G37" s="58">
        <f t="shared" si="1"/>
        <v>54</v>
      </c>
      <c r="H37" s="58">
        <f t="shared" si="0"/>
        <v>-54</v>
      </c>
      <c r="I37" s="33"/>
      <c r="J37" s="11"/>
      <c r="K37" s="2"/>
      <c r="L37" s="2"/>
      <c r="M37" s="110">
        <f t="shared" si="2"/>
        <v>0</v>
      </c>
      <c r="N37" s="36"/>
      <c r="O37" s="24"/>
      <c r="P37" s="11"/>
      <c r="Q37" s="11"/>
      <c r="R37" s="24"/>
    </row>
    <row r="38" spans="1:18" hidden="1" x14ac:dyDescent="0.25">
      <c r="A38" s="47">
        <v>20080701</v>
      </c>
      <c r="B38" s="48">
        <v>7410</v>
      </c>
      <c r="C38" s="48">
        <v>7477</v>
      </c>
      <c r="D38" s="48">
        <v>7291</v>
      </c>
      <c r="E38" s="48">
        <v>7291</v>
      </c>
      <c r="F38" s="49">
        <v>62859</v>
      </c>
      <c r="G38" s="58">
        <f t="shared" si="1"/>
        <v>-6</v>
      </c>
      <c r="H38" s="58">
        <f t="shared" si="0"/>
        <v>-119</v>
      </c>
      <c r="I38" s="33"/>
      <c r="J38" s="11"/>
      <c r="K38" s="2"/>
      <c r="L38" s="2"/>
      <c r="M38" s="110">
        <f t="shared" si="2"/>
        <v>0</v>
      </c>
      <c r="N38" s="36"/>
      <c r="O38" s="24"/>
      <c r="P38" s="11"/>
      <c r="Q38" s="11"/>
      <c r="R38" s="24"/>
    </row>
    <row r="39" spans="1:18" hidden="1" x14ac:dyDescent="0.25">
      <c r="A39" s="47">
        <v>20080702</v>
      </c>
      <c r="B39" s="48">
        <v>7308</v>
      </c>
      <c r="C39" s="48">
        <v>7394</v>
      </c>
      <c r="D39" s="48">
        <v>7245</v>
      </c>
      <c r="E39" s="48">
        <v>7245</v>
      </c>
      <c r="F39" s="49">
        <v>74191</v>
      </c>
      <c r="G39" s="58">
        <f t="shared" si="1"/>
        <v>17</v>
      </c>
      <c r="H39" s="58">
        <f t="shared" si="0"/>
        <v>-63</v>
      </c>
      <c r="I39" s="33"/>
      <c r="J39" s="11"/>
      <c r="K39" s="2"/>
      <c r="L39" s="2"/>
      <c r="M39" s="110">
        <f t="shared" si="2"/>
        <v>0</v>
      </c>
      <c r="N39" s="36"/>
      <c r="O39" s="24"/>
      <c r="P39" s="11"/>
      <c r="Q39" s="11"/>
      <c r="R39" s="24"/>
    </row>
    <row r="40" spans="1:18" hidden="1" x14ac:dyDescent="0.25">
      <c r="A40" s="47">
        <v>20080703</v>
      </c>
      <c r="B40" s="48">
        <v>7140</v>
      </c>
      <c r="C40" s="48">
        <v>7377</v>
      </c>
      <c r="D40" s="48">
        <v>7055</v>
      </c>
      <c r="E40" s="48">
        <v>7299</v>
      </c>
      <c r="F40" s="49">
        <v>88259</v>
      </c>
      <c r="G40" s="58">
        <f t="shared" si="1"/>
        <v>-105</v>
      </c>
      <c r="H40" s="58">
        <f t="shared" si="0"/>
        <v>159</v>
      </c>
      <c r="I40" s="33"/>
      <c r="J40" s="11"/>
      <c r="K40" s="2"/>
      <c r="L40" s="2"/>
      <c r="M40" s="110">
        <f t="shared" si="2"/>
        <v>1</v>
      </c>
      <c r="N40" s="36"/>
      <c r="O40" s="24"/>
      <c r="P40" s="11"/>
      <c r="Q40" s="11"/>
      <c r="R40" s="24"/>
    </row>
    <row r="41" spans="1:18" hidden="1" x14ac:dyDescent="0.25">
      <c r="A41" s="47">
        <v>20080704</v>
      </c>
      <c r="B41" s="48">
        <v>7282</v>
      </c>
      <c r="C41" s="48">
        <v>7323</v>
      </c>
      <c r="D41" s="48">
        <v>7099</v>
      </c>
      <c r="E41" s="48">
        <v>7100</v>
      </c>
      <c r="F41" s="49">
        <v>68335</v>
      </c>
      <c r="G41" s="58">
        <f t="shared" si="1"/>
        <v>-17</v>
      </c>
      <c r="H41" s="58">
        <f t="shared" si="0"/>
        <v>-182</v>
      </c>
      <c r="I41" s="33"/>
      <c r="J41" s="11"/>
      <c r="K41" s="2"/>
      <c r="L41" s="2"/>
      <c r="M41" s="110">
        <f t="shared" si="2"/>
        <v>0</v>
      </c>
      <c r="N41" s="36"/>
      <c r="O41" s="24"/>
      <c r="P41" s="11"/>
      <c r="Q41" s="11"/>
      <c r="R41" s="24"/>
    </row>
    <row r="42" spans="1:18" x14ac:dyDescent="0.25">
      <c r="A42" s="47">
        <v>20080707</v>
      </c>
      <c r="B42" s="48">
        <v>7096</v>
      </c>
      <c r="C42" s="48">
        <v>7279</v>
      </c>
      <c r="D42" s="48">
        <v>7075</v>
      </c>
      <c r="E42" s="48">
        <v>7258</v>
      </c>
      <c r="F42" s="49">
        <v>62177</v>
      </c>
      <c r="G42" s="58">
        <f t="shared" si="1"/>
        <v>-4</v>
      </c>
      <c r="H42" s="58">
        <f t="shared" si="0"/>
        <v>162</v>
      </c>
      <c r="I42" s="33"/>
      <c r="J42" s="11"/>
      <c r="K42" s="2"/>
      <c r="L42" s="2"/>
      <c r="M42" s="110">
        <f t="shared" si="2"/>
        <v>1</v>
      </c>
      <c r="N42" s="36"/>
      <c r="O42" s="24"/>
      <c r="P42" s="11"/>
      <c r="Q42" s="11"/>
      <c r="R42" s="24"/>
    </row>
    <row r="43" spans="1:18" x14ac:dyDescent="0.25">
      <c r="A43" s="47">
        <v>20080708</v>
      </c>
      <c r="B43" s="48">
        <v>7199</v>
      </c>
      <c r="C43" s="48">
        <v>7200</v>
      </c>
      <c r="D43" s="48">
        <v>6892</v>
      </c>
      <c r="E43" s="48">
        <v>6988</v>
      </c>
      <c r="F43" s="49">
        <v>86073</v>
      </c>
      <c r="G43" s="58">
        <f t="shared" si="1"/>
        <v>-59</v>
      </c>
      <c r="H43" s="58">
        <f t="shared" si="0"/>
        <v>-211</v>
      </c>
      <c r="I43" s="33"/>
      <c r="J43" s="11"/>
      <c r="K43" s="2"/>
      <c r="L43" s="2"/>
      <c r="M43" s="110">
        <f t="shared" si="2"/>
        <v>0</v>
      </c>
      <c r="N43" s="36"/>
      <c r="O43" s="24"/>
      <c r="P43" s="11"/>
      <c r="Q43" s="11"/>
      <c r="R43" s="24"/>
    </row>
    <row r="44" spans="1:18" x14ac:dyDescent="0.25">
      <c r="A44" s="47">
        <v>20080709</v>
      </c>
      <c r="B44" s="48">
        <v>7095</v>
      </c>
      <c r="C44" s="48">
        <v>7185</v>
      </c>
      <c r="D44" s="48">
        <v>6950</v>
      </c>
      <c r="E44" s="48">
        <v>7011</v>
      </c>
      <c r="F44" s="49">
        <v>95503</v>
      </c>
      <c r="G44" s="58">
        <f t="shared" si="1"/>
        <v>107</v>
      </c>
      <c r="H44" s="58">
        <f t="shared" si="0"/>
        <v>-84</v>
      </c>
      <c r="I44" s="33"/>
      <c r="J44" s="11"/>
      <c r="K44" s="2"/>
      <c r="L44" s="2"/>
      <c r="M44" s="110">
        <f t="shared" si="2"/>
        <v>1</v>
      </c>
      <c r="N44" s="36"/>
      <c r="O44" s="24"/>
      <c r="P44" s="11"/>
      <c r="Q44" s="11"/>
      <c r="R44" s="24"/>
    </row>
    <row r="45" spans="1:18" x14ac:dyDescent="0.25">
      <c r="A45" s="47">
        <v>20080710</v>
      </c>
      <c r="B45" s="48">
        <v>6958</v>
      </c>
      <c r="C45" s="48">
        <v>7116</v>
      </c>
      <c r="D45" s="48">
        <v>6893</v>
      </c>
      <c r="E45" s="48">
        <v>7010</v>
      </c>
      <c r="F45" s="49">
        <v>94064</v>
      </c>
      <c r="G45" s="58">
        <f t="shared" si="1"/>
        <v>-53</v>
      </c>
      <c r="H45" s="58">
        <f t="shared" si="0"/>
        <v>52</v>
      </c>
      <c r="I45" s="33"/>
      <c r="J45" s="11"/>
      <c r="K45" s="2"/>
      <c r="L45" s="2"/>
      <c r="M45" s="110">
        <f t="shared" si="2"/>
        <v>0</v>
      </c>
      <c r="N45" s="36"/>
      <c r="O45" s="24"/>
      <c r="P45" s="11"/>
      <c r="Q45" s="11"/>
      <c r="R45" s="24"/>
    </row>
    <row r="46" spans="1:18" x14ac:dyDescent="0.25">
      <c r="A46" s="47">
        <v>20080711</v>
      </c>
      <c r="B46" s="48">
        <v>6973</v>
      </c>
      <c r="C46" s="48">
        <v>7206</v>
      </c>
      <c r="D46" s="48">
        <v>6963</v>
      </c>
      <c r="E46" s="48">
        <v>7181</v>
      </c>
      <c r="F46" s="49">
        <v>97903</v>
      </c>
      <c r="G46" s="58">
        <f t="shared" si="1"/>
        <v>-37</v>
      </c>
      <c r="H46" s="58">
        <f t="shared" si="0"/>
        <v>208</v>
      </c>
      <c r="I46" s="33"/>
      <c r="J46" s="11"/>
      <c r="K46" s="2"/>
      <c r="L46" s="2"/>
      <c r="M46" s="110">
        <f t="shared" si="2"/>
        <v>1</v>
      </c>
      <c r="N46" s="36"/>
      <c r="O46" s="24"/>
      <c r="P46" s="11"/>
      <c r="Q46" s="11"/>
      <c r="R46" s="24"/>
    </row>
    <row r="47" spans="1:18" x14ac:dyDescent="0.25">
      <c r="A47" s="47">
        <v>20080714</v>
      </c>
      <c r="B47" s="48">
        <v>7200</v>
      </c>
      <c r="C47" s="48">
        <v>7238</v>
      </c>
      <c r="D47" s="48">
        <v>7088</v>
      </c>
      <c r="E47" s="48">
        <v>7152</v>
      </c>
      <c r="F47" s="49">
        <v>74123</v>
      </c>
      <c r="G47" s="58">
        <f t="shared" si="1"/>
        <v>19</v>
      </c>
      <c r="H47" s="58">
        <f t="shared" si="0"/>
        <v>-48</v>
      </c>
      <c r="I47" s="33"/>
      <c r="J47" s="11"/>
      <c r="K47" s="2"/>
      <c r="L47" s="2"/>
      <c r="M47" s="110">
        <f t="shared" si="2"/>
        <v>0</v>
      </c>
      <c r="N47" s="36"/>
      <c r="O47" s="24"/>
      <c r="P47" s="11"/>
      <c r="Q47" s="11"/>
      <c r="R47" s="24"/>
    </row>
    <row r="48" spans="1:18" x14ac:dyDescent="0.25">
      <c r="A48" s="47">
        <v>20080715</v>
      </c>
      <c r="B48" s="48">
        <v>7050</v>
      </c>
      <c r="C48" s="48">
        <v>7065</v>
      </c>
      <c r="D48" s="48">
        <v>6744</v>
      </c>
      <c r="E48" s="48">
        <v>6790</v>
      </c>
      <c r="F48" s="49">
        <v>89664</v>
      </c>
      <c r="G48" s="58">
        <f t="shared" si="1"/>
        <v>-102</v>
      </c>
      <c r="H48" s="58">
        <f t="shared" si="0"/>
        <v>-260</v>
      </c>
      <c r="I48" s="33"/>
      <c r="J48" s="11"/>
      <c r="K48" s="2"/>
      <c r="L48" s="2"/>
      <c r="M48" s="110">
        <f t="shared" si="2"/>
        <v>0</v>
      </c>
      <c r="N48" s="36"/>
      <c r="O48" s="24"/>
      <c r="P48" s="11"/>
      <c r="Q48" s="11"/>
      <c r="R48" s="24"/>
    </row>
    <row r="49" spans="1:30" x14ac:dyDescent="0.25">
      <c r="A49" s="47">
        <v>20080716</v>
      </c>
      <c r="B49" s="48">
        <v>6712</v>
      </c>
      <c r="C49" s="48">
        <v>6725</v>
      </c>
      <c r="D49" s="48">
        <v>6532</v>
      </c>
      <c r="E49" s="48">
        <v>6541</v>
      </c>
      <c r="F49" s="49">
        <v>50918</v>
      </c>
      <c r="G49" s="58">
        <f t="shared" si="1"/>
        <v>-78</v>
      </c>
      <c r="H49" s="58">
        <f t="shared" si="0"/>
        <v>-171</v>
      </c>
      <c r="I49" s="33"/>
      <c r="J49" s="11"/>
      <c r="K49" s="2"/>
      <c r="L49" s="2"/>
      <c r="M49" s="110">
        <f t="shared" si="2"/>
        <v>0</v>
      </c>
      <c r="N49" s="36"/>
      <c r="O49" s="24"/>
      <c r="P49" s="11"/>
      <c r="Q49" s="11"/>
      <c r="R49" s="24"/>
    </row>
    <row r="50" spans="1:30" x14ac:dyDescent="0.25">
      <c r="A50" s="47">
        <v>20080717</v>
      </c>
      <c r="B50" s="48">
        <v>6700</v>
      </c>
      <c r="C50" s="48">
        <v>6848</v>
      </c>
      <c r="D50" s="48">
        <v>6689</v>
      </c>
      <c r="E50" s="48">
        <v>6797</v>
      </c>
      <c r="F50" s="49">
        <v>74675</v>
      </c>
      <c r="G50" s="58">
        <f t="shared" si="1"/>
        <v>159</v>
      </c>
      <c r="H50" s="58">
        <f t="shared" si="0"/>
        <v>97</v>
      </c>
      <c r="I50" s="33"/>
      <c r="J50" s="11"/>
      <c r="K50" s="2"/>
      <c r="L50" s="2"/>
      <c r="M50" s="110">
        <f t="shared" si="2"/>
        <v>1</v>
      </c>
      <c r="N50" s="36"/>
      <c r="O50" s="24"/>
      <c r="P50" s="11"/>
      <c r="Q50" s="11"/>
      <c r="R50" s="24"/>
    </row>
    <row r="51" spans="1:30" ht="17.25" thickBot="1" x14ac:dyDescent="0.3">
      <c r="A51" s="47">
        <v>20080718</v>
      </c>
      <c r="B51" s="48">
        <v>6860</v>
      </c>
      <c r="C51" s="48">
        <v>6888</v>
      </c>
      <c r="D51" s="48">
        <v>6599</v>
      </c>
      <c r="E51" s="48">
        <v>6681</v>
      </c>
      <c r="F51" s="49">
        <v>87374</v>
      </c>
      <c r="G51" s="58">
        <f t="shared" si="1"/>
        <v>63</v>
      </c>
      <c r="H51" s="58">
        <f t="shared" si="0"/>
        <v>-179</v>
      </c>
      <c r="I51" s="33"/>
      <c r="J51" s="11"/>
      <c r="K51" s="2"/>
      <c r="L51" s="2"/>
      <c r="M51" s="110">
        <f t="shared" si="2"/>
        <v>0</v>
      </c>
      <c r="N51" s="36"/>
      <c r="O51" s="24"/>
      <c r="P51" s="11"/>
      <c r="Q51" s="11"/>
      <c r="R51" s="24"/>
    </row>
    <row r="52" spans="1:30" ht="17.25" thickBot="1" x14ac:dyDescent="0.3">
      <c r="A52" s="50">
        <v>20080721</v>
      </c>
      <c r="B52" s="51">
        <v>6845</v>
      </c>
      <c r="C52" s="51">
        <v>7020</v>
      </c>
      <c r="D52" s="51">
        <v>6840</v>
      </c>
      <c r="E52" s="51">
        <v>7007</v>
      </c>
      <c r="F52" s="52">
        <v>71688</v>
      </c>
      <c r="G52" s="58">
        <f t="shared" si="1"/>
        <v>164</v>
      </c>
      <c r="H52" s="59">
        <f t="shared" si="0"/>
        <v>162</v>
      </c>
      <c r="I52" s="95">
        <v>0</v>
      </c>
      <c r="J52" s="94">
        <v>0</v>
      </c>
      <c r="K52" s="75"/>
      <c r="L52" s="77">
        <v>0</v>
      </c>
      <c r="M52" s="111">
        <f t="shared" si="2"/>
        <v>1</v>
      </c>
      <c r="N52" s="36"/>
      <c r="O52" s="24"/>
      <c r="P52" s="27">
        <f ca="1">AVERAGE(E52:OFFSET(E52,-(Q$5-1),0))</f>
        <v>6915.8</v>
      </c>
      <c r="Q52" s="28">
        <f ca="1">AVERAGE(E52:OFFSET(E52,-(Q$6-1),0))</f>
        <v>7166.1</v>
      </c>
      <c r="R52" s="22"/>
      <c r="S52" s="115" t="s">
        <v>32</v>
      </c>
      <c r="T52" s="116"/>
      <c r="U52" s="88">
        <v>20</v>
      </c>
      <c r="V52" s="89">
        <v>21</v>
      </c>
      <c r="W52" s="88">
        <v>22</v>
      </c>
      <c r="X52" s="89">
        <v>23</v>
      </c>
      <c r="Y52" s="88">
        <v>24</v>
      </c>
      <c r="Z52" s="89">
        <v>25</v>
      </c>
      <c r="AA52" s="88">
        <v>26</v>
      </c>
      <c r="AB52" s="89">
        <v>27</v>
      </c>
      <c r="AC52" s="88">
        <v>28</v>
      </c>
      <c r="AD52" s="89">
        <v>29</v>
      </c>
    </row>
    <row r="53" spans="1:30" x14ac:dyDescent="0.25">
      <c r="A53" s="44">
        <v>20080722</v>
      </c>
      <c r="B53" s="45">
        <v>6943</v>
      </c>
      <c r="C53" s="45">
        <v>7010</v>
      </c>
      <c r="D53" s="45">
        <v>6886</v>
      </c>
      <c r="E53" s="45">
        <v>6967</v>
      </c>
      <c r="F53" s="46">
        <v>75340</v>
      </c>
      <c r="G53" s="58">
        <f t="shared" si="1"/>
        <v>-64</v>
      </c>
      <c r="H53" s="57">
        <f t="shared" si="0"/>
        <v>24</v>
      </c>
      <c r="I53" s="70">
        <f t="shared" ref="I53:I116" ca="1" si="3">IF(OR(O53=1,R53=1),1,IF(OR(O53=-1,R53=-1),-1,0))</f>
        <v>0</v>
      </c>
      <c r="J53" s="73">
        <f t="shared" ref="J53:J116" si="4">IF((J52+I52)&gt;=J$5, J$5, IF((J52+I52)&lt;=J$7, J$7, J52+I52))</f>
        <v>0</v>
      </c>
      <c r="K53" s="74">
        <f>J52*G53+J53*H53</f>
        <v>0</v>
      </c>
      <c r="L53" s="78">
        <f>L52+K53</f>
        <v>0</v>
      </c>
      <c r="M53" s="61">
        <f t="shared" si="2"/>
        <v>0</v>
      </c>
      <c r="N53" s="38">
        <f ca="1">AVERAGE(M53:OFFSET(M53,-(O$5-1),0))</f>
        <v>0.4</v>
      </c>
      <c r="O53" s="62">
        <f ca="1">IF(N53&lt;=O$6, 1, IF(N53&gt;=O$7,-1, 0))</f>
        <v>0</v>
      </c>
      <c r="P53" s="67">
        <f ca="1">AVERAGE(E53:OFFSET(E53,-(Q$5-1),0))</f>
        <v>6913.7</v>
      </c>
      <c r="Q53" s="39">
        <f ca="1">AVERAGE(E53:OFFSET(E53,-(Q$6-1),0))</f>
        <v>7129.8</v>
      </c>
      <c r="R53" s="62">
        <f ca="1">IF(AND(P52&lt;=Q52,P53&gt;Q53),1,IF(AND(P52&gt;=Q52,P53&lt;Q53),-1,0))</f>
        <v>0</v>
      </c>
      <c r="S53" s="112" t="s">
        <v>31</v>
      </c>
      <c r="T53" s="85">
        <v>5</v>
      </c>
      <c r="U53" s="82">
        <v>2359</v>
      </c>
      <c r="V53" s="80">
        <v>2432</v>
      </c>
      <c r="W53" s="80">
        <v>2400</v>
      </c>
      <c r="X53" s="80">
        <v>2269</v>
      </c>
      <c r="Y53" s="80">
        <v>2221</v>
      </c>
      <c r="Z53" s="80">
        <v>2569</v>
      </c>
      <c r="AA53" s="80">
        <v>2546</v>
      </c>
      <c r="AB53" s="80">
        <v>2640</v>
      </c>
      <c r="AC53" s="80">
        <v>2797</v>
      </c>
      <c r="AD53" s="81">
        <v>2926</v>
      </c>
    </row>
    <row r="54" spans="1:30" x14ac:dyDescent="0.25">
      <c r="A54" s="47">
        <v>20080723</v>
      </c>
      <c r="B54" s="48">
        <v>7100</v>
      </c>
      <c r="C54" s="48">
        <v>7250</v>
      </c>
      <c r="D54" s="48">
        <v>7075</v>
      </c>
      <c r="E54" s="48">
        <v>7186</v>
      </c>
      <c r="F54" s="49">
        <v>80107</v>
      </c>
      <c r="G54" s="58">
        <f t="shared" si="1"/>
        <v>133</v>
      </c>
      <c r="H54" s="58">
        <f t="shared" si="0"/>
        <v>86</v>
      </c>
      <c r="I54" s="71">
        <f t="shared" ca="1" si="3"/>
        <v>0</v>
      </c>
      <c r="J54" s="73">
        <f t="shared" ca="1" si="4"/>
        <v>0</v>
      </c>
      <c r="K54" s="74">
        <f t="shared" ref="K54:K117" ca="1" si="5">J53*G54+J54*H54</f>
        <v>0</v>
      </c>
      <c r="L54" s="79">
        <f t="shared" ref="L54:L117" ca="1" si="6">L53+K54</f>
        <v>0</v>
      </c>
      <c r="M54" s="63">
        <f t="shared" si="2"/>
        <v>1</v>
      </c>
      <c r="N54" s="40">
        <f ca="1">AVERAGE(M54:OFFSET(M54,-(O$5-1),0))</f>
        <v>0.46666666666666667</v>
      </c>
      <c r="O54" s="64">
        <f t="shared" ref="O54:O117" ca="1" si="7">IF(N54&lt;=O$6, 1, IF(N54&gt;=O$7,-1, 0))</f>
        <v>0</v>
      </c>
      <c r="P54" s="68">
        <f ca="1">AVERAGE(E54:OFFSET(E54,-(Q$5-1),0))</f>
        <v>6931.2</v>
      </c>
      <c r="Q54" s="41">
        <f ca="1">AVERAGE(E54:OFFSET(E54,-(Q$6-1),0))</f>
        <v>7101.45</v>
      </c>
      <c r="R54" s="64">
        <f t="shared" ref="R54:R117" ca="1" si="8">IF(AND(P53&lt;=Q53,P54&gt;Q54),1,IF(AND(P53&gt;=Q53,P54&lt;Q54),-1,0))</f>
        <v>0</v>
      </c>
      <c r="S54" s="113"/>
      <c r="T54" s="86">
        <v>6</v>
      </c>
      <c r="U54" s="83">
        <v>2404</v>
      </c>
      <c r="V54" s="1">
        <v>2129</v>
      </c>
      <c r="W54" s="1">
        <v>2176</v>
      </c>
      <c r="X54" s="1">
        <v>2416</v>
      </c>
      <c r="Y54" s="1">
        <v>2652</v>
      </c>
      <c r="Z54" s="1">
        <v>2734</v>
      </c>
      <c r="AA54" s="1">
        <v>2912</v>
      </c>
      <c r="AB54" s="1">
        <v>2943</v>
      </c>
      <c r="AC54" s="1">
        <v>3096</v>
      </c>
      <c r="AD54" s="4">
        <v>3243</v>
      </c>
    </row>
    <row r="55" spans="1:30" x14ac:dyDescent="0.25">
      <c r="A55" s="47">
        <v>20080724</v>
      </c>
      <c r="B55" s="48">
        <v>7262</v>
      </c>
      <c r="C55" s="48">
        <v>7306</v>
      </c>
      <c r="D55" s="48">
        <v>7208</v>
      </c>
      <c r="E55" s="48">
        <v>7304</v>
      </c>
      <c r="F55" s="49">
        <v>64280</v>
      </c>
      <c r="G55" s="58">
        <f t="shared" si="1"/>
        <v>76</v>
      </c>
      <c r="H55" s="58">
        <f t="shared" si="0"/>
        <v>42</v>
      </c>
      <c r="I55" s="71">
        <f t="shared" ca="1" si="3"/>
        <v>0</v>
      </c>
      <c r="J55" s="73">
        <f t="shared" ca="1" si="4"/>
        <v>0</v>
      </c>
      <c r="K55" s="74">
        <f t="shared" ca="1" si="5"/>
        <v>0</v>
      </c>
      <c r="L55" s="79">
        <f t="shared" ca="1" si="6"/>
        <v>0</v>
      </c>
      <c r="M55" s="63">
        <f t="shared" si="2"/>
        <v>1</v>
      </c>
      <c r="N55" s="40">
        <f ca="1">AVERAGE(M55:OFFSET(M55,-(O$5-1),0))</f>
        <v>0.46666666666666667</v>
      </c>
      <c r="O55" s="64">
        <f t="shared" ca="1" si="7"/>
        <v>0</v>
      </c>
      <c r="P55" s="68">
        <f ca="1">AVERAGE(E55:OFFSET(E55,-(Q$5-1),0))</f>
        <v>6960.6</v>
      </c>
      <c r="Q55" s="41">
        <f ca="1">AVERAGE(E55:OFFSET(E55,-(Q$6-1),0))</f>
        <v>7082</v>
      </c>
      <c r="R55" s="64">
        <f t="shared" ca="1" si="8"/>
        <v>0</v>
      </c>
      <c r="S55" s="113"/>
      <c r="T55" s="86">
        <v>7</v>
      </c>
      <c r="U55" s="83">
        <v>2832</v>
      </c>
      <c r="V55" s="1">
        <v>2879</v>
      </c>
      <c r="W55" s="1">
        <v>2125</v>
      </c>
      <c r="X55" s="1">
        <v>2499</v>
      </c>
      <c r="Y55" s="1">
        <v>2879</v>
      </c>
      <c r="Z55" s="1">
        <v>3270</v>
      </c>
      <c r="AA55" s="1">
        <v>3180</v>
      </c>
      <c r="AB55" s="1">
        <v>3012</v>
      </c>
      <c r="AC55" s="1">
        <v>2979</v>
      </c>
      <c r="AD55" s="4">
        <v>2816</v>
      </c>
    </row>
    <row r="56" spans="1:30" x14ac:dyDescent="0.25">
      <c r="A56" s="47">
        <v>20080725</v>
      </c>
      <c r="B56" s="48">
        <v>7188</v>
      </c>
      <c r="C56" s="48">
        <v>7190</v>
      </c>
      <c r="D56" s="48">
        <v>7082</v>
      </c>
      <c r="E56" s="48">
        <v>7170</v>
      </c>
      <c r="F56" s="49">
        <v>62125</v>
      </c>
      <c r="G56" s="58">
        <f t="shared" si="1"/>
        <v>-116</v>
      </c>
      <c r="H56" s="58">
        <f t="shared" si="0"/>
        <v>-18</v>
      </c>
      <c r="I56" s="71">
        <f t="shared" ca="1" si="3"/>
        <v>0</v>
      </c>
      <c r="J56" s="73">
        <f t="shared" ca="1" si="4"/>
        <v>0</v>
      </c>
      <c r="K56" s="74">
        <f t="shared" ca="1" si="5"/>
        <v>0</v>
      </c>
      <c r="L56" s="79">
        <f t="shared" ca="1" si="6"/>
        <v>0</v>
      </c>
      <c r="M56" s="63">
        <f t="shared" si="2"/>
        <v>0</v>
      </c>
      <c r="N56" s="40">
        <f ca="1">AVERAGE(M56:OFFSET(M56,-(O$5-1),0))</f>
        <v>0.46666666666666667</v>
      </c>
      <c r="O56" s="64">
        <f t="shared" ca="1" si="7"/>
        <v>0</v>
      </c>
      <c r="P56" s="68">
        <f ca="1">AVERAGE(E56:OFFSET(E56,-(Q$5-1),0))</f>
        <v>6959.5</v>
      </c>
      <c r="Q56" s="41">
        <f ca="1">AVERAGE(E56:OFFSET(E56,-(Q$6-1),0))</f>
        <v>7069.7</v>
      </c>
      <c r="R56" s="64">
        <f t="shared" ca="1" si="8"/>
        <v>0</v>
      </c>
      <c r="S56" s="113"/>
      <c r="T56" s="86">
        <v>8</v>
      </c>
      <c r="U56" s="83">
        <v>2709</v>
      </c>
      <c r="V56" s="1">
        <v>2656</v>
      </c>
      <c r="W56" s="1">
        <v>2701</v>
      </c>
      <c r="X56" s="1">
        <v>2760</v>
      </c>
      <c r="Y56" s="1">
        <v>2462</v>
      </c>
      <c r="Z56" s="1">
        <v>2670</v>
      </c>
      <c r="AA56" s="1">
        <v>2673</v>
      </c>
      <c r="AB56" s="1">
        <v>2703</v>
      </c>
      <c r="AC56" s="1">
        <v>2781</v>
      </c>
      <c r="AD56" s="4">
        <v>2781</v>
      </c>
    </row>
    <row r="57" spans="1:30" x14ac:dyDescent="0.25">
      <c r="A57" s="47">
        <v>20080729</v>
      </c>
      <c r="B57" s="48">
        <v>6950</v>
      </c>
      <c r="C57" s="48">
        <v>6980</v>
      </c>
      <c r="D57" s="48">
        <v>6866</v>
      </c>
      <c r="E57" s="48">
        <v>6916</v>
      </c>
      <c r="F57" s="49">
        <v>57587</v>
      </c>
      <c r="G57" s="58">
        <f t="shared" si="1"/>
        <v>-220</v>
      </c>
      <c r="H57" s="58">
        <f t="shared" si="0"/>
        <v>-34</v>
      </c>
      <c r="I57" s="71">
        <f t="shared" ca="1" si="3"/>
        <v>0</v>
      </c>
      <c r="J57" s="73">
        <f t="shared" ca="1" si="4"/>
        <v>0</v>
      </c>
      <c r="K57" s="74">
        <f t="shared" ca="1" si="5"/>
        <v>0</v>
      </c>
      <c r="L57" s="79">
        <f t="shared" ca="1" si="6"/>
        <v>0</v>
      </c>
      <c r="M57" s="63">
        <f t="shared" si="2"/>
        <v>0</v>
      </c>
      <c r="N57" s="40">
        <f ca="1">AVERAGE(M57:OFFSET(M57,-(O$5-1),0))</f>
        <v>0.4</v>
      </c>
      <c r="O57" s="64">
        <f t="shared" ca="1" si="7"/>
        <v>0</v>
      </c>
      <c r="P57" s="68">
        <f ca="1">AVERAGE(E57:OFFSET(E57,-(Q$5-1),0))</f>
        <v>6935.9</v>
      </c>
      <c r="Q57" s="41">
        <f ca="1">AVERAGE(E57:OFFSET(E57,-(Q$6-1),0))</f>
        <v>7044.7</v>
      </c>
      <c r="R57" s="64">
        <f t="shared" ca="1" si="8"/>
        <v>0</v>
      </c>
      <c r="S57" s="113"/>
      <c r="T57" s="86">
        <v>9</v>
      </c>
      <c r="U57" s="83">
        <v>3115</v>
      </c>
      <c r="V57" s="1">
        <v>3206</v>
      </c>
      <c r="W57" s="1">
        <v>2911</v>
      </c>
      <c r="X57" s="1">
        <v>2906</v>
      </c>
      <c r="Y57" s="1">
        <v>2807</v>
      </c>
      <c r="Z57" s="1">
        <v>2737</v>
      </c>
      <c r="AA57" s="1">
        <v>2725</v>
      </c>
      <c r="AB57" s="1">
        <v>2612</v>
      </c>
      <c r="AC57" s="1">
        <v>2564</v>
      </c>
      <c r="AD57" s="4">
        <v>2709</v>
      </c>
    </row>
    <row r="58" spans="1:30" x14ac:dyDescent="0.25">
      <c r="A58" s="47">
        <v>20080730</v>
      </c>
      <c r="B58" s="48">
        <v>7070</v>
      </c>
      <c r="C58" s="48">
        <v>7085</v>
      </c>
      <c r="D58" s="48">
        <v>6966</v>
      </c>
      <c r="E58" s="48">
        <v>7022</v>
      </c>
      <c r="F58" s="49">
        <v>66830</v>
      </c>
      <c r="G58" s="58">
        <f t="shared" si="1"/>
        <v>154</v>
      </c>
      <c r="H58" s="58">
        <f t="shared" si="0"/>
        <v>-48</v>
      </c>
      <c r="I58" s="71">
        <f t="shared" ca="1" si="3"/>
        <v>0</v>
      </c>
      <c r="J58" s="73">
        <f t="shared" ca="1" si="4"/>
        <v>0</v>
      </c>
      <c r="K58" s="74">
        <f t="shared" ca="1" si="5"/>
        <v>0</v>
      </c>
      <c r="L58" s="79">
        <f t="shared" ca="1" si="6"/>
        <v>0</v>
      </c>
      <c r="M58" s="63">
        <f t="shared" si="2"/>
        <v>1</v>
      </c>
      <c r="N58" s="40">
        <f ca="1">AVERAGE(M58:OFFSET(M58,-(O$5-1),0))</f>
        <v>0.46666666666666667</v>
      </c>
      <c r="O58" s="64">
        <f t="shared" ca="1" si="7"/>
        <v>0</v>
      </c>
      <c r="P58" s="68">
        <f ca="1">AVERAGE(E58:OFFSET(E58,-(Q$5-1),0))</f>
        <v>6959.1</v>
      </c>
      <c r="Q58" s="41">
        <f ca="1">AVERAGE(E58:OFFSET(E58,-(Q$6-1),0))</f>
        <v>7031.25</v>
      </c>
      <c r="R58" s="64">
        <f t="shared" ca="1" si="8"/>
        <v>0</v>
      </c>
      <c r="S58" s="113"/>
      <c r="T58" s="86">
        <v>10</v>
      </c>
      <c r="U58" s="83">
        <v>3016</v>
      </c>
      <c r="V58" s="1">
        <v>2865</v>
      </c>
      <c r="W58" s="1">
        <v>2959</v>
      </c>
      <c r="X58" s="1">
        <v>2893</v>
      </c>
      <c r="Y58" s="1">
        <v>2587</v>
      </c>
      <c r="Z58" s="1">
        <v>2719</v>
      </c>
      <c r="AA58" s="1">
        <v>2551</v>
      </c>
      <c r="AB58" s="1">
        <v>2763</v>
      </c>
      <c r="AC58" s="1">
        <v>2757</v>
      </c>
      <c r="AD58" s="4">
        <v>2810</v>
      </c>
    </row>
    <row r="59" spans="1:30" x14ac:dyDescent="0.25">
      <c r="A59" s="47">
        <v>20080731</v>
      </c>
      <c r="B59" s="48">
        <v>7098</v>
      </c>
      <c r="C59" s="48">
        <v>7147</v>
      </c>
      <c r="D59" s="48">
        <v>6890</v>
      </c>
      <c r="E59" s="48">
        <v>6998</v>
      </c>
      <c r="F59" s="49">
        <v>84650</v>
      </c>
      <c r="G59" s="58">
        <f t="shared" si="1"/>
        <v>76</v>
      </c>
      <c r="H59" s="58">
        <f t="shared" si="0"/>
        <v>-100</v>
      </c>
      <c r="I59" s="71">
        <f t="shared" ca="1" si="3"/>
        <v>0</v>
      </c>
      <c r="J59" s="73">
        <f t="shared" ca="1" si="4"/>
        <v>0</v>
      </c>
      <c r="K59" s="74">
        <f t="shared" ca="1" si="5"/>
        <v>0</v>
      </c>
      <c r="L59" s="79">
        <f t="shared" ca="1" si="6"/>
        <v>0</v>
      </c>
      <c r="M59" s="63">
        <f t="shared" si="2"/>
        <v>0</v>
      </c>
      <c r="N59" s="40">
        <f ca="1">AVERAGE(M59:OFFSET(M59,-(O$5-1),0))</f>
        <v>0.4</v>
      </c>
      <c r="O59" s="64">
        <f t="shared" ca="1" si="7"/>
        <v>0</v>
      </c>
      <c r="P59" s="68">
        <f ca="1">AVERAGE(E59:OFFSET(E59,-(Q$5-1),0))</f>
        <v>7004.8</v>
      </c>
      <c r="Q59" s="41">
        <f ca="1">AVERAGE(E59:OFFSET(E59,-(Q$6-1),0))</f>
        <v>7018.9</v>
      </c>
      <c r="R59" s="64">
        <f t="shared" ca="1" si="8"/>
        <v>0</v>
      </c>
      <c r="S59" s="113"/>
      <c r="T59" s="86">
        <v>11</v>
      </c>
      <c r="U59" s="83">
        <v>2351</v>
      </c>
      <c r="V59" s="1">
        <v>2402</v>
      </c>
      <c r="W59" s="1">
        <v>2882</v>
      </c>
      <c r="X59" s="1">
        <v>2805</v>
      </c>
      <c r="Y59" s="1">
        <v>3329</v>
      </c>
      <c r="Z59" s="1">
        <v>3183</v>
      </c>
      <c r="AA59" s="1">
        <v>3352</v>
      </c>
      <c r="AB59" s="1">
        <v>3213</v>
      </c>
      <c r="AC59" s="1">
        <v>2913</v>
      </c>
      <c r="AD59" s="4">
        <v>2944</v>
      </c>
    </row>
    <row r="60" spans="1:30" x14ac:dyDescent="0.25">
      <c r="A60" s="47">
        <v>20080801</v>
      </c>
      <c r="B60" s="48">
        <v>6901</v>
      </c>
      <c r="C60" s="48">
        <v>6969</v>
      </c>
      <c r="D60" s="48">
        <v>6851</v>
      </c>
      <c r="E60" s="48">
        <v>6914</v>
      </c>
      <c r="F60" s="49">
        <v>66371</v>
      </c>
      <c r="G60" s="58">
        <f t="shared" si="1"/>
        <v>-97</v>
      </c>
      <c r="H60" s="58">
        <f t="shared" si="0"/>
        <v>13</v>
      </c>
      <c r="I60" s="71">
        <f t="shared" ca="1" si="3"/>
        <v>1</v>
      </c>
      <c r="J60" s="73">
        <f t="shared" ca="1" si="4"/>
        <v>0</v>
      </c>
      <c r="K60" s="74">
        <f t="shared" ca="1" si="5"/>
        <v>0</v>
      </c>
      <c r="L60" s="79">
        <f t="shared" ca="1" si="6"/>
        <v>0</v>
      </c>
      <c r="M60" s="63">
        <f t="shared" si="2"/>
        <v>0</v>
      </c>
      <c r="N60" s="40">
        <f ca="1">AVERAGE(M60:OFFSET(M60,-(O$5-1),0))</f>
        <v>0.4</v>
      </c>
      <c r="O60" s="64">
        <f t="shared" ca="1" si="7"/>
        <v>0</v>
      </c>
      <c r="P60" s="68">
        <f ca="1">AVERAGE(E60:OFFSET(E60,-(Q$5-1),0))</f>
        <v>7016.5</v>
      </c>
      <c r="Q60" s="41">
        <f ca="1">AVERAGE(E60:OFFSET(E60,-(Q$6-1),0))</f>
        <v>6999.65</v>
      </c>
      <c r="R60" s="64">
        <f t="shared" ca="1" si="8"/>
        <v>1</v>
      </c>
      <c r="S60" s="113"/>
      <c r="T60" s="86">
        <v>12</v>
      </c>
      <c r="U60" s="83">
        <v>2584</v>
      </c>
      <c r="V60" s="1">
        <v>2561</v>
      </c>
      <c r="W60" s="1">
        <v>2497</v>
      </c>
      <c r="X60" s="1">
        <v>2445</v>
      </c>
      <c r="Y60" s="1">
        <v>2738</v>
      </c>
      <c r="Z60" s="1">
        <v>3254</v>
      </c>
      <c r="AA60" s="1">
        <v>3339</v>
      </c>
      <c r="AB60" s="1">
        <v>3087</v>
      </c>
      <c r="AC60" s="1">
        <v>2766</v>
      </c>
      <c r="AD60" s="4">
        <v>2679</v>
      </c>
    </row>
    <row r="61" spans="1:30" x14ac:dyDescent="0.25">
      <c r="A61" s="47">
        <v>20080804</v>
      </c>
      <c r="B61" s="48">
        <v>6852</v>
      </c>
      <c r="C61" s="48">
        <v>6964</v>
      </c>
      <c r="D61" s="48">
        <v>6850</v>
      </c>
      <c r="E61" s="48">
        <v>6934</v>
      </c>
      <c r="F61" s="49">
        <v>53142</v>
      </c>
      <c r="G61" s="58">
        <f t="shared" si="1"/>
        <v>-62</v>
      </c>
      <c r="H61" s="58">
        <f t="shared" si="0"/>
        <v>82</v>
      </c>
      <c r="I61" s="71">
        <f t="shared" ca="1" si="3"/>
        <v>0</v>
      </c>
      <c r="J61" s="73">
        <f t="shared" ca="1" si="4"/>
        <v>1</v>
      </c>
      <c r="K61" s="74">
        <f t="shared" ca="1" si="5"/>
        <v>82</v>
      </c>
      <c r="L61" s="79">
        <f t="shared" ca="1" si="6"/>
        <v>82</v>
      </c>
      <c r="M61" s="63">
        <f t="shared" si="2"/>
        <v>1</v>
      </c>
      <c r="N61" s="40">
        <f ca="1">AVERAGE(M61:OFFSET(M61,-(O$5-1),0))</f>
        <v>0.4</v>
      </c>
      <c r="O61" s="64">
        <f t="shared" ca="1" si="7"/>
        <v>0</v>
      </c>
      <c r="P61" s="68">
        <f ca="1">AVERAGE(E61:OFFSET(E61,-(Q$5-1),0))</f>
        <v>7041.8</v>
      </c>
      <c r="Q61" s="41">
        <f ca="1">AVERAGE(E61:OFFSET(E61,-(Q$6-1),0))</f>
        <v>6991.35</v>
      </c>
      <c r="R61" s="64">
        <f t="shared" ca="1" si="8"/>
        <v>0</v>
      </c>
      <c r="S61" s="113"/>
      <c r="T61" s="86">
        <v>13</v>
      </c>
      <c r="U61" s="83">
        <v>2559</v>
      </c>
      <c r="V61" s="1">
        <v>2168</v>
      </c>
      <c r="W61" s="1">
        <v>1896</v>
      </c>
      <c r="X61" s="1">
        <v>2184</v>
      </c>
      <c r="Y61" s="1">
        <v>2315</v>
      </c>
      <c r="Z61" s="1">
        <v>2936</v>
      </c>
      <c r="AA61" s="1">
        <v>3150</v>
      </c>
      <c r="AB61" s="1">
        <v>2715</v>
      </c>
      <c r="AC61" s="1">
        <v>2557</v>
      </c>
      <c r="AD61" s="4">
        <v>2588</v>
      </c>
    </row>
    <row r="62" spans="1:30" x14ac:dyDescent="0.25">
      <c r="A62" s="47">
        <v>20080805</v>
      </c>
      <c r="B62" s="48">
        <v>6973</v>
      </c>
      <c r="C62" s="48">
        <v>6993</v>
      </c>
      <c r="D62" s="48">
        <v>6756</v>
      </c>
      <c r="E62" s="48">
        <v>6778</v>
      </c>
      <c r="F62" s="49">
        <v>81580</v>
      </c>
      <c r="G62" s="58">
        <f t="shared" si="1"/>
        <v>39</v>
      </c>
      <c r="H62" s="58">
        <f t="shared" si="0"/>
        <v>-195</v>
      </c>
      <c r="I62" s="71">
        <f t="shared" ca="1" si="3"/>
        <v>0</v>
      </c>
      <c r="J62" s="73">
        <f t="shared" ca="1" si="4"/>
        <v>1</v>
      </c>
      <c r="K62" s="74">
        <f t="shared" ca="1" si="5"/>
        <v>-156</v>
      </c>
      <c r="L62" s="79">
        <f t="shared" ca="1" si="6"/>
        <v>-74</v>
      </c>
      <c r="M62" s="63">
        <f t="shared" si="2"/>
        <v>0</v>
      </c>
      <c r="N62" s="40">
        <f ca="1">AVERAGE(M62:OFFSET(M62,-(O$5-1),0))</f>
        <v>0.4</v>
      </c>
      <c r="O62" s="64">
        <f t="shared" ca="1" si="7"/>
        <v>0</v>
      </c>
      <c r="P62" s="68">
        <f ca="1">AVERAGE(E62:OFFSET(E62,-(Q$5-1),0))</f>
        <v>7018.9</v>
      </c>
      <c r="Q62" s="41">
        <f ca="1">AVERAGE(E62:OFFSET(E62,-(Q$6-1),0))</f>
        <v>6967.35</v>
      </c>
      <c r="R62" s="64">
        <f t="shared" ca="1" si="8"/>
        <v>0</v>
      </c>
      <c r="S62" s="113"/>
      <c r="T62" s="86">
        <v>14</v>
      </c>
      <c r="U62" s="83">
        <v>2454</v>
      </c>
      <c r="V62" s="1">
        <v>2335</v>
      </c>
      <c r="W62" s="1">
        <v>2221</v>
      </c>
      <c r="X62" s="1">
        <v>2367</v>
      </c>
      <c r="Y62" s="1">
        <v>2246</v>
      </c>
      <c r="Z62" s="1">
        <v>1835</v>
      </c>
      <c r="AA62" s="1">
        <v>2531</v>
      </c>
      <c r="AB62" s="1">
        <v>2531</v>
      </c>
      <c r="AC62" s="1">
        <v>2502</v>
      </c>
      <c r="AD62" s="4">
        <v>2471</v>
      </c>
    </row>
    <row r="63" spans="1:30" x14ac:dyDescent="0.25">
      <c r="A63" s="47">
        <v>20080806</v>
      </c>
      <c r="B63" s="48">
        <v>6970</v>
      </c>
      <c r="C63" s="48">
        <v>7030</v>
      </c>
      <c r="D63" s="48">
        <v>6910</v>
      </c>
      <c r="E63" s="48">
        <v>7017</v>
      </c>
      <c r="F63" s="49">
        <v>63636</v>
      </c>
      <c r="G63" s="58">
        <f t="shared" si="1"/>
        <v>192</v>
      </c>
      <c r="H63" s="58">
        <f t="shared" si="0"/>
        <v>47</v>
      </c>
      <c r="I63" s="71">
        <f t="shared" ca="1" si="3"/>
        <v>0</v>
      </c>
      <c r="J63" s="73">
        <f t="shared" ca="1" si="4"/>
        <v>1</v>
      </c>
      <c r="K63" s="74">
        <f t="shared" ca="1" si="5"/>
        <v>239</v>
      </c>
      <c r="L63" s="79">
        <f t="shared" ca="1" si="6"/>
        <v>165</v>
      </c>
      <c r="M63" s="63">
        <f t="shared" si="2"/>
        <v>1</v>
      </c>
      <c r="N63" s="40">
        <f ca="1">AVERAGE(M63:OFFSET(M63,-(O$5-1),0))</f>
        <v>0.46666666666666667</v>
      </c>
      <c r="O63" s="64">
        <f t="shared" ca="1" si="7"/>
        <v>0</v>
      </c>
      <c r="P63" s="68">
        <f ca="1">AVERAGE(E63:OFFSET(E63,-(Q$5-1),0))</f>
        <v>7023.9</v>
      </c>
      <c r="Q63" s="41">
        <f ca="1">AVERAGE(E63:OFFSET(E63,-(Q$6-1),0))</f>
        <v>6968.8</v>
      </c>
      <c r="R63" s="64">
        <f t="shared" ca="1" si="8"/>
        <v>0</v>
      </c>
      <c r="S63" s="113"/>
      <c r="T63" s="86">
        <v>15</v>
      </c>
      <c r="U63" s="83">
        <v>2620</v>
      </c>
      <c r="V63" s="1">
        <v>2448</v>
      </c>
      <c r="W63" s="1">
        <v>2309</v>
      </c>
      <c r="X63" s="1">
        <v>1709</v>
      </c>
      <c r="Y63" s="1">
        <v>1920</v>
      </c>
      <c r="Z63" s="1">
        <v>1881</v>
      </c>
      <c r="AA63" s="1">
        <v>2370</v>
      </c>
      <c r="AB63" s="1">
        <v>2515</v>
      </c>
      <c r="AC63" s="1">
        <v>2515</v>
      </c>
      <c r="AD63" s="4">
        <v>2644</v>
      </c>
    </row>
    <row r="64" spans="1:30" x14ac:dyDescent="0.25">
      <c r="A64" s="47">
        <v>20080807</v>
      </c>
      <c r="B64" s="48">
        <v>7002</v>
      </c>
      <c r="C64" s="48">
        <v>7055</v>
      </c>
      <c r="D64" s="48">
        <v>6960</v>
      </c>
      <c r="E64" s="48">
        <v>7006</v>
      </c>
      <c r="F64" s="49">
        <v>64790</v>
      </c>
      <c r="G64" s="58">
        <f t="shared" si="1"/>
        <v>-15</v>
      </c>
      <c r="H64" s="58">
        <f t="shared" si="0"/>
        <v>4</v>
      </c>
      <c r="I64" s="71">
        <f t="shared" ca="1" si="3"/>
        <v>0</v>
      </c>
      <c r="J64" s="73">
        <f t="shared" ca="1" si="4"/>
        <v>1</v>
      </c>
      <c r="K64" s="74">
        <f t="shared" ca="1" si="5"/>
        <v>-11</v>
      </c>
      <c r="L64" s="79">
        <f t="shared" ca="1" si="6"/>
        <v>154</v>
      </c>
      <c r="M64" s="63">
        <f t="shared" si="2"/>
        <v>0</v>
      </c>
      <c r="N64" s="40">
        <f ca="1">AVERAGE(M64:OFFSET(M64,-(O$5-1),0))</f>
        <v>0.46666666666666667</v>
      </c>
      <c r="O64" s="64">
        <f t="shared" ca="1" si="7"/>
        <v>0</v>
      </c>
      <c r="P64" s="68">
        <f ca="1">AVERAGE(E64:OFFSET(E64,-(Q$5-1),0))</f>
        <v>7005.9</v>
      </c>
      <c r="Q64" s="41">
        <f ca="1">AVERAGE(E64:OFFSET(E64,-(Q$6-1),0))</f>
        <v>6968.55</v>
      </c>
      <c r="R64" s="64">
        <f t="shared" ca="1" si="8"/>
        <v>0</v>
      </c>
      <c r="S64" s="113"/>
      <c r="T64" s="86">
        <v>16</v>
      </c>
      <c r="U64" s="83">
        <v>2041</v>
      </c>
      <c r="V64" s="1">
        <v>1949</v>
      </c>
      <c r="W64" s="1">
        <v>1958</v>
      </c>
      <c r="X64" s="1">
        <v>1887</v>
      </c>
      <c r="Y64" s="1">
        <v>1863</v>
      </c>
      <c r="Z64" s="1">
        <v>1845</v>
      </c>
      <c r="AA64" s="1">
        <v>2213</v>
      </c>
      <c r="AB64" s="1">
        <v>2286</v>
      </c>
      <c r="AC64" s="1">
        <v>2802</v>
      </c>
      <c r="AD64" s="4">
        <v>2802</v>
      </c>
    </row>
    <row r="65" spans="1:30" x14ac:dyDescent="0.25">
      <c r="A65" s="47">
        <v>20080808</v>
      </c>
      <c r="B65" s="48">
        <v>6941</v>
      </c>
      <c r="C65" s="48">
        <v>7234</v>
      </c>
      <c r="D65" s="48">
        <v>6936</v>
      </c>
      <c r="E65" s="48">
        <v>7189</v>
      </c>
      <c r="F65" s="49">
        <v>87490</v>
      </c>
      <c r="G65" s="58">
        <f t="shared" si="1"/>
        <v>-65</v>
      </c>
      <c r="H65" s="58">
        <f t="shared" si="0"/>
        <v>248</v>
      </c>
      <c r="I65" s="71">
        <f t="shared" ca="1" si="3"/>
        <v>0</v>
      </c>
      <c r="J65" s="73">
        <f t="shared" ca="1" si="4"/>
        <v>1</v>
      </c>
      <c r="K65" s="74">
        <f t="shared" ca="1" si="5"/>
        <v>183</v>
      </c>
      <c r="L65" s="79">
        <f t="shared" ca="1" si="6"/>
        <v>337</v>
      </c>
      <c r="M65" s="63">
        <f t="shared" si="2"/>
        <v>1</v>
      </c>
      <c r="N65" s="40">
        <f ca="1">AVERAGE(M65:OFFSET(M65,-(O$5-1),0))</f>
        <v>0.46666666666666667</v>
      </c>
      <c r="O65" s="64">
        <f t="shared" ca="1" si="7"/>
        <v>0</v>
      </c>
      <c r="P65" s="68">
        <f ca="1">AVERAGE(E65:OFFSET(E65,-(Q$5-1),0))</f>
        <v>6994.4</v>
      </c>
      <c r="Q65" s="41">
        <f ca="1">AVERAGE(E65:OFFSET(E65,-(Q$6-1),0))</f>
        <v>6977.5</v>
      </c>
      <c r="R65" s="64">
        <f t="shared" ca="1" si="8"/>
        <v>0</v>
      </c>
      <c r="S65" s="113"/>
      <c r="T65" s="86">
        <v>17</v>
      </c>
      <c r="U65" s="83">
        <v>1814</v>
      </c>
      <c r="V65" s="1">
        <v>1786</v>
      </c>
      <c r="W65" s="1">
        <v>1721</v>
      </c>
      <c r="X65" s="1">
        <v>2067</v>
      </c>
      <c r="Y65" s="1">
        <v>1796</v>
      </c>
      <c r="Z65" s="1">
        <v>1803</v>
      </c>
      <c r="AA65" s="1">
        <v>2286</v>
      </c>
      <c r="AB65" s="1">
        <v>2696</v>
      </c>
      <c r="AC65" s="1">
        <v>2696</v>
      </c>
      <c r="AD65" s="4">
        <v>2230</v>
      </c>
    </row>
    <row r="66" spans="1:30" x14ac:dyDescent="0.25">
      <c r="A66" s="47">
        <v>20080811</v>
      </c>
      <c r="B66" s="48">
        <v>7268</v>
      </c>
      <c r="C66" s="48">
        <v>7339</v>
      </c>
      <c r="D66" s="48">
        <v>7250</v>
      </c>
      <c r="E66" s="48">
        <v>7289</v>
      </c>
      <c r="F66" s="49">
        <v>59555</v>
      </c>
      <c r="G66" s="58">
        <f t="shared" si="1"/>
        <v>79</v>
      </c>
      <c r="H66" s="58">
        <f t="shared" si="0"/>
        <v>21</v>
      </c>
      <c r="I66" s="71">
        <f t="shared" ca="1" si="3"/>
        <v>0</v>
      </c>
      <c r="J66" s="73">
        <f t="shared" ca="1" si="4"/>
        <v>1</v>
      </c>
      <c r="K66" s="74">
        <f t="shared" ca="1" si="5"/>
        <v>100</v>
      </c>
      <c r="L66" s="79">
        <f t="shared" ca="1" si="6"/>
        <v>437</v>
      </c>
      <c r="M66" s="63">
        <f t="shared" si="2"/>
        <v>1</v>
      </c>
      <c r="N66" s="40">
        <f ca="1">AVERAGE(M66:OFFSET(M66,-(O$5-1),0))</f>
        <v>0.53333333333333333</v>
      </c>
      <c r="O66" s="64">
        <f t="shared" ca="1" si="7"/>
        <v>0</v>
      </c>
      <c r="P66" s="68">
        <f ca="1">AVERAGE(E66:OFFSET(E66,-(Q$5-1),0))</f>
        <v>7006.3</v>
      </c>
      <c r="Q66" s="41">
        <f ca="1">AVERAGE(E66:OFFSET(E66,-(Q$6-1),0))</f>
        <v>6982.9</v>
      </c>
      <c r="R66" s="64">
        <f t="shared" ca="1" si="8"/>
        <v>0</v>
      </c>
      <c r="S66" s="113"/>
      <c r="T66" s="86">
        <v>18</v>
      </c>
      <c r="U66" s="83">
        <v>1870</v>
      </c>
      <c r="V66" s="1">
        <v>1885</v>
      </c>
      <c r="W66" s="1">
        <v>1821</v>
      </c>
      <c r="X66" s="1">
        <v>1584</v>
      </c>
      <c r="Y66" s="1">
        <v>1811</v>
      </c>
      <c r="Z66" s="1">
        <v>1610</v>
      </c>
      <c r="AA66" s="1">
        <v>1858</v>
      </c>
      <c r="AB66" s="1">
        <v>2370</v>
      </c>
      <c r="AC66" s="1">
        <v>1990</v>
      </c>
      <c r="AD66" s="4">
        <v>2208</v>
      </c>
    </row>
    <row r="67" spans="1:30" ht="17.25" thickBot="1" x14ac:dyDescent="0.3">
      <c r="A67" s="47">
        <v>20080812</v>
      </c>
      <c r="B67" s="48">
        <v>7288</v>
      </c>
      <c r="C67" s="48">
        <v>7333</v>
      </c>
      <c r="D67" s="48">
        <v>7255</v>
      </c>
      <c r="E67" s="48">
        <v>7270</v>
      </c>
      <c r="F67" s="49">
        <v>56263</v>
      </c>
      <c r="G67" s="58">
        <f t="shared" si="1"/>
        <v>-1</v>
      </c>
      <c r="H67" s="58">
        <f t="shared" si="0"/>
        <v>-18</v>
      </c>
      <c r="I67" s="71">
        <f t="shared" ca="1" si="3"/>
        <v>0</v>
      </c>
      <c r="J67" s="73">
        <f t="shared" ca="1" si="4"/>
        <v>1</v>
      </c>
      <c r="K67" s="74">
        <f t="shared" ca="1" si="5"/>
        <v>-19</v>
      </c>
      <c r="L67" s="79">
        <f t="shared" ca="1" si="6"/>
        <v>418</v>
      </c>
      <c r="M67" s="63">
        <f t="shared" si="2"/>
        <v>0</v>
      </c>
      <c r="N67" s="40">
        <f ca="1">AVERAGE(M67:OFFSET(M67,-(O$5-1),0))</f>
        <v>0.46666666666666667</v>
      </c>
      <c r="O67" s="64">
        <f t="shared" ca="1" si="7"/>
        <v>0</v>
      </c>
      <c r="P67" s="68">
        <f ca="1">AVERAGE(E67:OFFSET(E67,-(Q$5-1),0))</f>
        <v>7041.7</v>
      </c>
      <c r="Q67" s="41">
        <f ca="1">AVERAGE(E67:OFFSET(E67,-(Q$6-1),0))</f>
        <v>6988.8</v>
      </c>
      <c r="R67" s="64">
        <f t="shared" ca="1" si="8"/>
        <v>0</v>
      </c>
      <c r="S67" s="114"/>
      <c r="T67" s="87">
        <v>19</v>
      </c>
      <c r="U67" s="84">
        <v>1509</v>
      </c>
      <c r="V67" s="3">
        <v>1975</v>
      </c>
      <c r="W67" s="3">
        <v>1794</v>
      </c>
      <c r="X67" s="3">
        <v>1595</v>
      </c>
      <c r="Y67" s="3">
        <v>1750</v>
      </c>
      <c r="Z67" s="3">
        <v>2111</v>
      </c>
      <c r="AA67" s="3">
        <v>2289</v>
      </c>
      <c r="AB67" s="3">
        <v>1737</v>
      </c>
      <c r="AC67" s="3">
        <v>2085</v>
      </c>
      <c r="AD67" s="5">
        <v>1685</v>
      </c>
    </row>
    <row r="68" spans="1:30" x14ac:dyDescent="0.25">
      <c r="A68" s="47">
        <v>20080813</v>
      </c>
      <c r="B68" s="48">
        <v>7258</v>
      </c>
      <c r="C68" s="48">
        <v>7308</v>
      </c>
      <c r="D68" s="48">
        <v>7190</v>
      </c>
      <c r="E68" s="48">
        <v>7299</v>
      </c>
      <c r="F68" s="49">
        <v>73840</v>
      </c>
      <c r="G68" s="58">
        <f t="shared" si="1"/>
        <v>-12</v>
      </c>
      <c r="H68" s="58">
        <f t="shared" ref="H68:H131" si="9">E68-B68</f>
        <v>41</v>
      </c>
      <c r="I68" s="71">
        <f t="shared" ca="1" si="3"/>
        <v>0</v>
      </c>
      <c r="J68" s="73">
        <f t="shared" ca="1" si="4"/>
        <v>1</v>
      </c>
      <c r="K68" s="74">
        <f t="shared" ca="1" si="5"/>
        <v>29</v>
      </c>
      <c r="L68" s="79">
        <f t="shared" ca="1" si="6"/>
        <v>447</v>
      </c>
      <c r="M68" s="63">
        <f t="shared" si="2"/>
        <v>1</v>
      </c>
      <c r="N68" s="40">
        <f ca="1">AVERAGE(M68:OFFSET(M68,-(O$5-1),0))</f>
        <v>0.53333333333333333</v>
      </c>
      <c r="O68" s="64">
        <f t="shared" ca="1" si="7"/>
        <v>0</v>
      </c>
      <c r="P68" s="68">
        <f ca="1">AVERAGE(E68:OFFSET(E68,-(Q$5-1),0))</f>
        <v>7069.4</v>
      </c>
      <c r="Q68" s="41">
        <f ca="1">AVERAGE(E68:OFFSET(E68,-(Q$6-1),0))</f>
        <v>7014.25</v>
      </c>
      <c r="R68" s="64">
        <f t="shared" ca="1" si="8"/>
        <v>0</v>
      </c>
      <c r="S68" s="98" t="s">
        <v>33</v>
      </c>
      <c r="T68" s="81">
        <v>3352</v>
      </c>
    </row>
    <row r="69" spans="1:30" x14ac:dyDescent="0.25">
      <c r="A69" s="47">
        <v>20080814</v>
      </c>
      <c r="B69" s="48">
        <v>7280</v>
      </c>
      <c r="C69" s="48">
        <v>7364</v>
      </c>
      <c r="D69" s="48">
        <v>7230</v>
      </c>
      <c r="E69" s="48">
        <v>7363</v>
      </c>
      <c r="F69" s="49">
        <v>64327</v>
      </c>
      <c r="G69" s="58">
        <f t="shared" ref="G69:G132" si="10">B69-E68</f>
        <v>-19</v>
      </c>
      <c r="H69" s="58">
        <f t="shared" si="9"/>
        <v>83</v>
      </c>
      <c r="I69" s="71">
        <f t="shared" ca="1" si="3"/>
        <v>0</v>
      </c>
      <c r="J69" s="73">
        <f t="shared" ca="1" si="4"/>
        <v>1</v>
      </c>
      <c r="K69" s="74">
        <f t="shared" ca="1" si="5"/>
        <v>64</v>
      </c>
      <c r="L69" s="79">
        <f t="shared" ca="1" si="6"/>
        <v>511</v>
      </c>
      <c r="M69" s="63">
        <f t="shared" ref="M69:M132" si="11">IF(E69&gt;E68,1,0)</f>
        <v>1</v>
      </c>
      <c r="N69" s="40">
        <f ca="1">AVERAGE(M69:OFFSET(M69,-(O$5-1),0))</f>
        <v>0.53333333333333333</v>
      </c>
      <c r="O69" s="64">
        <f t="shared" ca="1" si="7"/>
        <v>0</v>
      </c>
      <c r="P69" s="68">
        <f ca="1">AVERAGE(E69:OFFSET(E69,-(Q$5-1),0))</f>
        <v>7105.9</v>
      </c>
      <c r="Q69" s="41">
        <f ca="1">AVERAGE(E69:OFFSET(E69,-(Q$6-1),0))</f>
        <v>7055.35</v>
      </c>
      <c r="R69" s="64">
        <f t="shared" ca="1" si="8"/>
        <v>0</v>
      </c>
      <c r="S69" s="99" t="s">
        <v>34</v>
      </c>
      <c r="T69" s="4">
        <v>11</v>
      </c>
    </row>
    <row r="70" spans="1:30" ht="17.25" thickBot="1" x14ac:dyDescent="0.3">
      <c r="A70" s="47">
        <v>20080815</v>
      </c>
      <c r="B70" s="48">
        <v>7362</v>
      </c>
      <c r="C70" s="48">
        <v>7382</v>
      </c>
      <c r="D70" s="48">
        <v>7155</v>
      </c>
      <c r="E70" s="48">
        <v>7216</v>
      </c>
      <c r="F70" s="49">
        <v>73450</v>
      </c>
      <c r="G70" s="58">
        <f t="shared" si="10"/>
        <v>-1</v>
      </c>
      <c r="H70" s="58">
        <f t="shared" si="9"/>
        <v>-146</v>
      </c>
      <c r="I70" s="71">
        <f t="shared" ca="1" si="3"/>
        <v>0</v>
      </c>
      <c r="J70" s="73">
        <f t="shared" ca="1" si="4"/>
        <v>1</v>
      </c>
      <c r="K70" s="74">
        <f t="shared" ca="1" si="5"/>
        <v>-147</v>
      </c>
      <c r="L70" s="79">
        <f t="shared" ca="1" si="6"/>
        <v>364</v>
      </c>
      <c r="M70" s="63">
        <f t="shared" si="11"/>
        <v>0</v>
      </c>
      <c r="N70" s="40">
        <f ca="1">AVERAGE(M70:OFFSET(M70,-(O$5-1),0))</f>
        <v>0.46666666666666667</v>
      </c>
      <c r="O70" s="64">
        <f t="shared" ca="1" si="7"/>
        <v>0</v>
      </c>
      <c r="P70" s="68">
        <f ca="1">AVERAGE(E70:OFFSET(E70,-(Q$5-1),0))</f>
        <v>7136.1</v>
      </c>
      <c r="Q70" s="41">
        <f ca="1">AVERAGE(E70:OFFSET(E70,-(Q$6-1),0))</f>
        <v>7076.3</v>
      </c>
      <c r="R70" s="64">
        <f t="shared" ca="1" si="8"/>
        <v>0</v>
      </c>
      <c r="S70" s="100" t="s">
        <v>35</v>
      </c>
      <c r="T70" s="5">
        <v>26</v>
      </c>
    </row>
    <row r="71" spans="1:30" x14ac:dyDescent="0.25">
      <c r="A71" s="47">
        <v>20080818</v>
      </c>
      <c r="B71" s="48">
        <v>7180</v>
      </c>
      <c r="C71" s="48">
        <v>7222</v>
      </c>
      <c r="D71" s="48">
        <v>6956</v>
      </c>
      <c r="E71" s="48">
        <v>6980</v>
      </c>
      <c r="F71" s="49">
        <v>76947</v>
      </c>
      <c r="G71" s="58">
        <f t="shared" si="10"/>
        <v>-36</v>
      </c>
      <c r="H71" s="58">
        <f t="shared" si="9"/>
        <v>-200</v>
      </c>
      <c r="I71" s="71">
        <f t="shared" ca="1" si="3"/>
        <v>0</v>
      </c>
      <c r="J71" s="73">
        <f t="shared" ca="1" si="4"/>
        <v>1</v>
      </c>
      <c r="K71" s="74">
        <f t="shared" ca="1" si="5"/>
        <v>-236</v>
      </c>
      <c r="L71" s="79">
        <f t="shared" ca="1" si="6"/>
        <v>128</v>
      </c>
      <c r="M71" s="63">
        <f t="shared" si="11"/>
        <v>0</v>
      </c>
      <c r="N71" s="40">
        <f ca="1">AVERAGE(M71:OFFSET(M71,-(O$5-1),0))</f>
        <v>0.46666666666666667</v>
      </c>
      <c r="O71" s="64">
        <f t="shared" ca="1" si="7"/>
        <v>0</v>
      </c>
      <c r="P71" s="68">
        <f ca="1">AVERAGE(E71:OFFSET(E71,-(Q$5-1),0))</f>
        <v>7140.7</v>
      </c>
      <c r="Q71" s="41">
        <f ca="1">AVERAGE(E71:OFFSET(E71,-(Q$6-1),0))</f>
        <v>7091.25</v>
      </c>
      <c r="R71" s="64">
        <f t="shared" ca="1" si="8"/>
        <v>0</v>
      </c>
    </row>
    <row r="72" spans="1:30" x14ac:dyDescent="0.25">
      <c r="A72" s="47">
        <v>20080819</v>
      </c>
      <c r="B72" s="48">
        <v>6856</v>
      </c>
      <c r="C72" s="48">
        <v>6978</v>
      </c>
      <c r="D72" s="48">
        <v>6813</v>
      </c>
      <c r="E72" s="48">
        <v>6936</v>
      </c>
      <c r="F72" s="49">
        <v>70745</v>
      </c>
      <c r="G72" s="58">
        <f t="shared" si="10"/>
        <v>-124</v>
      </c>
      <c r="H72" s="58">
        <f t="shared" si="9"/>
        <v>80</v>
      </c>
      <c r="I72" s="71">
        <f t="shared" ca="1" si="3"/>
        <v>0</v>
      </c>
      <c r="J72" s="73">
        <f t="shared" ca="1" si="4"/>
        <v>1</v>
      </c>
      <c r="K72" s="74">
        <f t="shared" ca="1" si="5"/>
        <v>-44</v>
      </c>
      <c r="L72" s="79">
        <f t="shared" ca="1" si="6"/>
        <v>84</v>
      </c>
      <c r="M72" s="63">
        <f t="shared" si="11"/>
        <v>0</v>
      </c>
      <c r="N72" s="40">
        <f ca="1">AVERAGE(M72:OFFSET(M72,-(O$5-1),0))</f>
        <v>0.46666666666666667</v>
      </c>
      <c r="O72" s="64">
        <f t="shared" ca="1" si="7"/>
        <v>0</v>
      </c>
      <c r="P72" s="68">
        <f ca="1">AVERAGE(E72:OFFSET(E72,-(Q$5-1),0))</f>
        <v>7156.5</v>
      </c>
      <c r="Q72" s="41">
        <f ca="1">AVERAGE(E72:OFFSET(E72,-(Q$6-1),0))</f>
        <v>7087.7</v>
      </c>
      <c r="R72" s="64">
        <f t="shared" ca="1" si="8"/>
        <v>0</v>
      </c>
    </row>
    <row r="73" spans="1:30" x14ac:dyDescent="0.25">
      <c r="A73" s="47">
        <v>20080820</v>
      </c>
      <c r="B73" s="48">
        <v>6891</v>
      </c>
      <c r="C73" s="48">
        <v>6994</v>
      </c>
      <c r="D73" s="48">
        <v>6825</v>
      </c>
      <c r="E73" s="48">
        <v>6979</v>
      </c>
      <c r="F73" s="49">
        <v>44632</v>
      </c>
      <c r="G73" s="58">
        <f t="shared" si="10"/>
        <v>-45</v>
      </c>
      <c r="H73" s="58">
        <f t="shared" si="9"/>
        <v>88</v>
      </c>
      <c r="I73" s="71">
        <f t="shared" ca="1" si="3"/>
        <v>0</v>
      </c>
      <c r="J73" s="73">
        <f t="shared" ca="1" si="4"/>
        <v>1</v>
      </c>
      <c r="K73" s="74">
        <f t="shared" ca="1" si="5"/>
        <v>43</v>
      </c>
      <c r="L73" s="79">
        <f t="shared" ca="1" si="6"/>
        <v>127</v>
      </c>
      <c r="M73" s="63">
        <f t="shared" si="11"/>
        <v>1</v>
      </c>
      <c r="N73" s="40">
        <f ca="1">AVERAGE(M73:OFFSET(M73,-(O$5-1),0))</f>
        <v>0.46666666666666667</v>
      </c>
      <c r="O73" s="64">
        <f t="shared" ca="1" si="7"/>
        <v>0</v>
      </c>
      <c r="P73" s="68">
        <f ca="1">AVERAGE(E73:OFFSET(E73,-(Q$5-1),0))</f>
        <v>7152.7</v>
      </c>
      <c r="Q73" s="41">
        <f ca="1">AVERAGE(E73:OFFSET(E73,-(Q$6-1),0))</f>
        <v>7088.3</v>
      </c>
      <c r="R73" s="64">
        <f t="shared" ca="1" si="8"/>
        <v>0</v>
      </c>
    </row>
    <row r="74" spans="1:30" x14ac:dyDescent="0.25">
      <c r="A74" s="47">
        <v>20080821</v>
      </c>
      <c r="B74" s="48">
        <v>6938</v>
      </c>
      <c r="C74" s="48">
        <v>6958</v>
      </c>
      <c r="D74" s="48">
        <v>6855</v>
      </c>
      <c r="E74" s="48">
        <v>6878</v>
      </c>
      <c r="F74" s="49">
        <v>62072</v>
      </c>
      <c r="G74" s="58">
        <f t="shared" si="10"/>
        <v>-41</v>
      </c>
      <c r="H74" s="58">
        <f t="shared" si="9"/>
        <v>-60</v>
      </c>
      <c r="I74" s="71">
        <f t="shared" ca="1" si="3"/>
        <v>0</v>
      </c>
      <c r="J74" s="73">
        <f t="shared" ca="1" si="4"/>
        <v>1</v>
      </c>
      <c r="K74" s="74">
        <f t="shared" ca="1" si="5"/>
        <v>-101</v>
      </c>
      <c r="L74" s="79">
        <f t="shared" ca="1" si="6"/>
        <v>26</v>
      </c>
      <c r="M74" s="63">
        <f t="shared" si="11"/>
        <v>0</v>
      </c>
      <c r="N74" s="40">
        <f ca="1">AVERAGE(M74:OFFSET(M74,-(O$5-1),0))</f>
        <v>0.46666666666666667</v>
      </c>
      <c r="O74" s="64">
        <f t="shared" ca="1" si="7"/>
        <v>0</v>
      </c>
      <c r="P74" s="68">
        <f ca="1">AVERAGE(E74:OFFSET(E74,-(Q$5-1),0))</f>
        <v>7139.9</v>
      </c>
      <c r="Q74" s="41">
        <f ca="1">AVERAGE(E74:OFFSET(E74,-(Q$6-1),0))</f>
        <v>7072.9</v>
      </c>
      <c r="R74" s="64">
        <f t="shared" ca="1" si="8"/>
        <v>0</v>
      </c>
    </row>
    <row r="75" spans="1:30" x14ac:dyDescent="0.25">
      <c r="A75" s="47">
        <v>20080822</v>
      </c>
      <c r="B75" s="48">
        <v>6845</v>
      </c>
      <c r="C75" s="48">
        <v>6975</v>
      </c>
      <c r="D75" s="48">
        <v>6766</v>
      </c>
      <c r="E75" s="48">
        <v>6865</v>
      </c>
      <c r="F75" s="49">
        <v>85586</v>
      </c>
      <c r="G75" s="58">
        <f t="shared" si="10"/>
        <v>-33</v>
      </c>
      <c r="H75" s="58">
        <f t="shared" si="9"/>
        <v>20</v>
      </c>
      <c r="I75" s="71">
        <f t="shared" ca="1" si="3"/>
        <v>0</v>
      </c>
      <c r="J75" s="73">
        <f t="shared" ca="1" si="4"/>
        <v>1</v>
      </c>
      <c r="K75" s="74">
        <f t="shared" ca="1" si="5"/>
        <v>-13</v>
      </c>
      <c r="L75" s="79">
        <f t="shared" ca="1" si="6"/>
        <v>13</v>
      </c>
      <c r="M75" s="63">
        <f t="shared" si="11"/>
        <v>0</v>
      </c>
      <c r="N75" s="40">
        <f ca="1">AVERAGE(M75:OFFSET(M75,-(O$5-1),0))</f>
        <v>0.46666666666666667</v>
      </c>
      <c r="O75" s="64">
        <f t="shared" ca="1" si="7"/>
        <v>0</v>
      </c>
      <c r="P75" s="68">
        <f ca="1">AVERAGE(E75:OFFSET(E75,-(Q$5-1),0))</f>
        <v>7107.5</v>
      </c>
      <c r="Q75" s="41">
        <f ca="1">AVERAGE(E75:OFFSET(E75,-(Q$6-1),0))</f>
        <v>7050.95</v>
      </c>
      <c r="R75" s="64">
        <f t="shared" ca="1" si="8"/>
        <v>0</v>
      </c>
    </row>
    <row r="76" spans="1:30" x14ac:dyDescent="0.25">
      <c r="A76" s="47">
        <v>20080825</v>
      </c>
      <c r="B76" s="48">
        <v>6956</v>
      </c>
      <c r="C76" s="48">
        <v>7037</v>
      </c>
      <c r="D76" s="48">
        <v>6896</v>
      </c>
      <c r="E76" s="48">
        <v>6988</v>
      </c>
      <c r="F76" s="49">
        <v>58897</v>
      </c>
      <c r="G76" s="58">
        <f t="shared" si="10"/>
        <v>91</v>
      </c>
      <c r="H76" s="58">
        <f t="shared" si="9"/>
        <v>32</v>
      </c>
      <c r="I76" s="71">
        <f t="shared" ca="1" si="3"/>
        <v>0</v>
      </c>
      <c r="J76" s="73">
        <f t="shared" ca="1" si="4"/>
        <v>1</v>
      </c>
      <c r="K76" s="74">
        <f t="shared" ca="1" si="5"/>
        <v>123</v>
      </c>
      <c r="L76" s="79">
        <f t="shared" ca="1" si="6"/>
        <v>136</v>
      </c>
      <c r="M76" s="63">
        <f t="shared" si="11"/>
        <v>1</v>
      </c>
      <c r="N76" s="40">
        <f ca="1">AVERAGE(M76:OFFSET(M76,-(O$5-1),0))</f>
        <v>0.46666666666666667</v>
      </c>
      <c r="O76" s="64">
        <f t="shared" ca="1" si="7"/>
        <v>0</v>
      </c>
      <c r="P76" s="68">
        <f ca="1">AVERAGE(E76:OFFSET(E76,-(Q$5-1),0))</f>
        <v>7077.4</v>
      </c>
      <c r="Q76" s="41">
        <f ca="1">AVERAGE(E76:OFFSET(E76,-(Q$6-1),0))</f>
        <v>7041.85</v>
      </c>
      <c r="R76" s="64">
        <f t="shared" ca="1" si="8"/>
        <v>0</v>
      </c>
    </row>
    <row r="77" spans="1:30" x14ac:dyDescent="0.25">
      <c r="A77" s="47">
        <v>20080826</v>
      </c>
      <c r="B77" s="48">
        <v>6909</v>
      </c>
      <c r="C77" s="48">
        <v>6962</v>
      </c>
      <c r="D77" s="48">
        <v>6885</v>
      </c>
      <c r="E77" s="48">
        <v>6946</v>
      </c>
      <c r="F77" s="49">
        <v>47757</v>
      </c>
      <c r="G77" s="58">
        <f t="shared" si="10"/>
        <v>-79</v>
      </c>
      <c r="H77" s="58">
        <f t="shared" si="9"/>
        <v>37</v>
      </c>
      <c r="I77" s="71">
        <f t="shared" ca="1" si="3"/>
        <v>0</v>
      </c>
      <c r="J77" s="73">
        <f t="shared" ca="1" si="4"/>
        <v>1</v>
      </c>
      <c r="K77" s="74">
        <f t="shared" ca="1" si="5"/>
        <v>-42</v>
      </c>
      <c r="L77" s="79">
        <f t="shared" ca="1" si="6"/>
        <v>94</v>
      </c>
      <c r="M77" s="63">
        <f t="shared" si="11"/>
        <v>0</v>
      </c>
      <c r="N77" s="40">
        <f ca="1">AVERAGE(M77:OFFSET(M77,-(O$5-1),0))</f>
        <v>0.46666666666666667</v>
      </c>
      <c r="O77" s="64">
        <f t="shared" ca="1" si="7"/>
        <v>0</v>
      </c>
      <c r="P77" s="68">
        <f ca="1">AVERAGE(E77:OFFSET(E77,-(Q$5-1),0))</f>
        <v>7045</v>
      </c>
      <c r="Q77" s="41">
        <f ca="1">AVERAGE(E77:OFFSET(E77,-(Q$6-1),0))</f>
        <v>7043.35</v>
      </c>
      <c r="R77" s="64">
        <f t="shared" ca="1" si="8"/>
        <v>0</v>
      </c>
    </row>
    <row r="78" spans="1:30" x14ac:dyDescent="0.25">
      <c r="A78" s="47">
        <v>20080827</v>
      </c>
      <c r="B78" s="48">
        <v>6929</v>
      </c>
      <c r="C78" s="48">
        <v>7120</v>
      </c>
      <c r="D78" s="48">
        <v>6897</v>
      </c>
      <c r="E78" s="48">
        <v>7082</v>
      </c>
      <c r="F78" s="49">
        <v>65941</v>
      </c>
      <c r="G78" s="58">
        <f t="shared" si="10"/>
        <v>-17</v>
      </c>
      <c r="H78" s="58">
        <f t="shared" si="9"/>
        <v>153</v>
      </c>
      <c r="I78" s="71">
        <f t="shared" ca="1" si="3"/>
        <v>-1</v>
      </c>
      <c r="J78" s="73">
        <f t="shared" ca="1" si="4"/>
        <v>1</v>
      </c>
      <c r="K78" s="74">
        <f t="shared" ca="1" si="5"/>
        <v>136</v>
      </c>
      <c r="L78" s="79">
        <f t="shared" ca="1" si="6"/>
        <v>230</v>
      </c>
      <c r="M78" s="63">
        <f t="shared" si="11"/>
        <v>1</v>
      </c>
      <c r="N78" s="40">
        <f ca="1">AVERAGE(M78:OFFSET(M78,-(O$5-1),0))</f>
        <v>0.46666666666666667</v>
      </c>
      <c r="O78" s="64">
        <f t="shared" ca="1" si="7"/>
        <v>0</v>
      </c>
      <c r="P78" s="68">
        <f ca="1">AVERAGE(E78:OFFSET(E78,-(Q$5-1),0))</f>
        <v>7023.3</v>
      </c>
      <c r="Q78" s="41">
        <f ca="1">AVERAGE(E78:OFFSET(E78,-(Q$6-1),0))</f>
        <v>7046.35</v>
      </c>
      <c r="R78" s="64">
        <f t="shared" ca="1" si="8"/>
        <v>-1</v>
      </c>
    </row>
    <row r="79" spans="1:30" x14ac:dyDescent="0.25">
      <c r="A79" s="47">
        <v>20080828</v>
      </c>
      <c r="B79" s="48">
        <v>7080</v>
      </c>
      <c r="C79" s="48">
        <v>7138</v>
      </c>
      <c r="D79" s="48">
        <v>7034</v>
      </c>
      <c r="E79" s="48">
        <v>7041</v>
      </c>
      <c r="F79" s="49">
        <v>55649</v>
      </c>
      <c r="G79" s="58">
        <f t="shared" si="10"/>
        <v>-2</v>
      </c>
      <c r="H79" s="58">
        <f t="shared" si="9"/>
        <v>-39</v>
      </c>
      <c r="I79" s="71">
        <f t="shared" ca="1" si="3"/>
        <v>0</v>
      </c>
      <c r="J79" s="73">
        <f t="shared" ca="1" si="4"/>
        <v>0</v>
      </c>
      <c r="K79" s="74">
        <f t="shared" ca="1" si="5"/>
        <v>-2</v>
      </c>
      <c r="L79" s="79">
        <f t="shared" ca="1" si="6"/>
        <v>228</v>
      </c>
      <c r="M79" s="63">
        <f t="shared" si="11"/>
        <v>0</v>
      </c>
      <c r="N79" s="40">
        <f ca="1">AVERAGE(M79:OFFSET(M79,-(O$5-1),0))</f>
        <v>0.46666666666666667</v>
      </c>
      <c r="O79" s="64">
        <f t="shared" ca="1" si="7"/>
        <v>0</v>
      </c>
      <c r="P79" s="68">
        <f ca="1">AVERAGE(E79:OFFSET(E79,-(Q$5-1),0))</f>
        <v>6991.1</v>
      </c>
      <c r="Q79" s="41">
        <f ca="1">AVERAGE(E79:OFFSET(E79,-(Q$6-1),0))</f>
        <v>7048.5</v>
      </c>
      <c r="R79" s="64">
        <f t="shared" ca="1" si="8"/>
        <v>0</v>
      </c>
    </row>
    <row r="80" spans="1:30" x14ac:dyDescent="0.25">
      <c r="A80" s="47">
        <v>20080829</v>
      </c>
      <c r="B80" s="48">
        <v>7100</v>
      </c>
      <c r="C80" s="48">
        <v>7138</v>
      </c>
      <c r="D80" s="48">
        <v>7011</v>
      </c>
      <c r="E80" s="48">
        <v>7054</v>
      </c>
      <c r="F80" s="49">
        <v>59224</v>
      </c>
      <c r="G80" s="58">
        <f t="shared" si="10"/>
        <v>59</v>
      </c>
      <c r="H80" s="58">
        <f t="shared" si="9"/>
        <v>-46</v>
      </c>
      <c r="I80" s="71">
        <f t="shared" ca="1" si="3"/>
        <v>0</v>
      </c>
      <c r="J80" s="73">
        <f t="shared" ca="1" si="4"/>
        <v>0</v>
      </c>
      <c r="K80" s="74">
        <f t="shared" ca="1" si="5"/>
        <v>0</v>
      </c>
      <c r="L80" s="79">
        <f t="shared" ca="1" si="6"/>
        <v>228</v>
      </c>
      <c r="M80" s="63">
        <f t="shared" si="11"/>
        <v>1</v>
      </c>
      <c r="N80" s="40">
        <f ca="1">AVERAGE(M80:OFFSET(M80,-(O$5-1),0))</f>
        <v>0.46666666666666667</v>
      </c>
      <c r="O80" s="64">
        <f t="shared" ca="1" si="7"/>
        <v>0</v>
      </c>
      <c r="P80" s="68">
        <f ca="1">AVERAGE(E80:OFFSET(E80,-(Q$5-1),0))</f>
        <v>6974.9</v>
      </c>
      <c r="Q80" s="41">
        <f ca="1">AVERAGE(E80:OFFSET(E80,-(Q$6-1),0))</f>
        <v>7055.5</v>
      </c>
      <c r="R80" s="64">
        <f t="shared" ca="1" si="8"/>
        <v>0</v>
      </c>
    </row>
    <row r="81" spans="1:18" x14ac:dyDescent="0.25">
      <c r="A81" s="47">
        <v>20080901</v>
      </c>
      <c r="B81" s="48">
        <v>6980</v>
      </c>
      <c r="C81" s="48">
        <v>6986</v>
      </c>
      <c r="D81" s="48">
        <v>6740</v>
      </c>
      <c r="E81" s="48">
        <v>6756</v>
      </c>
      <c r="F81" s="49">
        <v>70388</v>
      </c>
      <c r="G81" s="58">
        <f t="shared" si="10"/>
        <v>-74</v>
      </c>
      <c r="H81" s="58">
        <f t="shared" si="9"/>
        <v>-224</v>
      </c>
      <c r="I81" s="71">
        <f t="shared" ca="1" si="3"/>
        <v>0</v>
      </c>
      <c r="J81" s="73">
        <f t="shared" ca="1" si="4"/>
        <v>0</v>
      </c>
      <c r="K81" s="74">
        <f t="shared" ca="1" si="5"/>
        <v>0</v>
      </c>
      <c r="L81" s="79">
        <f t="shared" ca="1" si="6"/>
        <v>228</v>
      </c>
      <c r="M81" s="63">
        <f t="shared" si="11"/>
        <v>0</v>
      </c>
      <c r="N81" s="40">
        <f ca="1">AVERAGE(M81:OFFSET(M81,-(O$5-1),0))</f>
        <v>0.4</v>
      </c>
      <c r="O81" s="64">
        <f t="shared" ca="1" si="7"/>
        <v>0</v>
      </c>
      <c r="P81" s="68">
        <f ca="1">AVERAGE(E81:OFFSET(E81,-(Q$5-1),0))</f>
        <v>6952.5</v>
      </c>
      <c r="Q81" s="41">
        <f ca="1">AVERAGE(E81:OFFSET(E81,-(Q$6-1),0))</f>
        <v>7046.6</v>
      </c>
      <c r="R81" s="64">
        <f t="shared" ca="1" si="8"/>
        <v>0</v>
      </c>
    </row>
    <row r="82" spans="1:18" x14ac:dyDescent="0.25">
      <c r="A82" s="47">
        <v>20080902</v>
      </c>
      <c r="B82" s="48">
        <v>6790</v>
      </c>
      <c r="C82" s="48">
        <v>6797</v>
      </c>
      <c r="D82" s="48">
        <v>6652</v>
      </c>
      <c r="E82" s="48">
        <v>6698</v>
      </c>
      <c r="F82" s="49">
        <v>74737</v>
      </c>
      <c r="G82" s="58">
        <f t="shared" si="10"/>
        <v>34</v>
      </c>
      <c r="H82" s="58">
        <f t="shared" si="9"/>
        <v>-92</v>
      </c>
      <c r="I82" s="71">
        <f t="shared" ca="1" si="3"/>
        <v>0</v>
      </c>
      <c r="J82" s="73">
        <f t="shared" ca="1" si="4"/>
        <v>0</v>
      </c>
      <c r="K82" s="74">
        <f t="shared" ca="1" si="5"/>
        <v>0</v>
      </c>
      <c r="L82" s="79">
        <f t="shared" ca="1" si="6"/>
        <v>228</v>
      </c>
      <c r="M82" s="63">
        <f t="shared" si="11"/>
        <v>0</v>
      </c>
      <c r="N82" s="40">
        <f ca="1">AVERAGE(M82:OFFSET(M82,-(O$5-1),0))</f>
        <v>0.4</v>
      </c>
      <c r="O82" s="64">
        <f t="shared" ca="1" si="7"/>
        <v>0</v>
      </c>
      <c r="P82" s="68">
        <f ca="1">AVERAGE(E82:OFFSET(E82,-(Q$5-1),0))</f>
        <v>6928.7</v>
      </c>
      <c r="Q82" s="41">
        <f ca="1">AVERAGE(E82:OFFSET(E82,-(Q$6-1),0))</f>
        <v>7042.6</v>
      </c>
      <c r="R82" s="64">
        <f t="shared" ca="1" si="8"/>
        <v>0</v>
      </c>
    </row>
    <row r="83" spans="1:18" x14ac:dyDescent="0.25">
      <c r="A83" s="47">
        <v>20080903</v>
      </c>
      <c r="B83" s="48">
        <v>6714</v>
      </c>
      <c r="C83" s="48">
        <v>6756</v>
      </c>
      <c r="D83" s="48">
        <v>6560</v>
      </c>
      <c r="E83" s="48">
        <v>6588</v>
      </c>
      <c r="F83" s="49">
        <v>80450</v>
      </c>
      <c r="G83" s="58">
        <f t="shared" si="10"/>
        <v>16</v>
      </c>
      <c r="H83" s="58">
        <f t="shared" si="9"/>
        <v>-126</v>
      </c>
      <c r="I83" s="71">
        <f t="shared" ca="1" si="3"/>
        <v>0</v>
      </c>
      <c r="J83" s="73">
        <f t="shared" ca="1" si="4"/>
        <v>0</v>
      </c>
      <c r="K83" s="74">
        <f t="shared" ca="1" si="5"/>
        <v>0</v>
      </c>
      <c r="L83" s="79">
        <f t="shared" ca="1" si="6"/>
        <v>228</v>
      </c>
      <c r="M83" s="63">
        <f t="shared" si="11"/>
        <v>0</v>
      </c>
      <c r="N83" s="40">
        <f ca="1">AVERAGE(M83:OFFSET(M83,-(O$5-1),0))</f>
        <v>0.33333333333333331</v>
      </c>
      <c r="O83" s="64">
        <f t="shared" ca="1" si="7"/>
        <v>0</v>
      </c>
      <c r="P83" s="68">
        <f ca="1">AVERAGE(E83:OFFSET(E83,-(Q$5-1),0))</f>
        <v>6889.6</v>
      </c>
      <c r="Q83" s="41">
        <f ca="1">AVERAGE(E83:OFFSET(E83,-(Q$6-1),0))</f>
        <v>7021.15</v>
      </c>
      <c r="R83" s="64">
        <f t="shared" ca="1" si="8"/>
        <v>0</v>
      </c>
    </row>
    <row r="84" spans="1:18" x14ac:dyDescent="0.25">
      <c r="A84" s="47">
        <v>20080904</v>
      </c>
      <c r="B84" s="48">
        <v>6561</v>
      </c>
      <c r="C84" s="48">
        <v>6630</v>
      </c>
      <c r="D84" s="48">
        <v>6345</v>
      </c>
      <c r="E84" s="48">
        <v>6397</v>
      </c>
      <c r="F84" s="49">
        <v>85011</v>
      </c>
      <c r="G84" s="58">
        <f t="shared" si="10"/>
        <v>-27</v>
      </c>
      <c r="H84" s="58">
        <f t="shared" si="9"/>
        <v>-164</v>
      </c>
      <c r="I84" s="71">
        <f t="shared" ca="1" si="3"/>
        <v>0</v>
      </c>
      <c r="J84" s="73">
        <f t="shared" ca="1" si="4"/>
        <v>0</v>
      </c>
      <c r="K84" s="74">
        <f t="shared" ca="1" si="5"/>
        <v>0</v>
      </c>
      <c r="L84" s="79">
        <f t="shared" ca="1" si="6"/>
        <v>228</v>
      </c>
      <c r="M84" s="63">
        <f t="shared" si="11"/>
        <v>0</v>
      </c>
      <c r="N84" s="40">
        <f ca="1">AVERAGE(M84:OFFSET(M84,-(O$5-1),0))</f>
        <v>0.26666666666666666</v>
      </c>
      <c r="O84" s="64">
        <f t="shared" ca="1" si="7"/>
        <v>0</v>
      </c>
      <c r="P84" s="68">
        <f ca="1">AVERAGE(E84:OFFSET(E84,-(Q$5-1),0))</f>
        <v>6841.5</v>
      </c>
      <c r="Q84" s="41">
        <f ca="1">AVERAGE(E84:OFFSET(E84,-(Q$6-1),0))</f>
        <v>6990.7</v>
      </c>
      <c r="R84" s="64">
        <f t="shared" ca="1" si="8"/>
        <v>0</v>
      </c>
    </row>
    <row r="85" spans="1:18" x14ac:dyDescent="0.25">
      <c r="A85" s="47">
        <v>20080905</v>
      </c>
      <c r="B85" s="48">
        <v>6235</v>
      </c>
      <c r="C85" s="48">
        <v>6330</v>
      </c>
      <c r="D85" s="48">
        <v>6203</v>
      </c>
      <c r="E85" s="48">
        <v>6244</v>
      </c>
      <c r="F85" s="49">
        <v>69239</v>
      </c>
      <c r="G85" s="58">
        <f t="shared" si="10"/>
        <v>-162</v>
      </c>
      <c r="H85" s="58">
        <f t="shared" si="9"/>
        <v>9</v>
      </c>
      <c r="I85" s="71">
        <f t="shared" ca="1" si="3"/>
        <v>0</v>
      </c>
      <c r="J85" s="73">
        <f t="shared" ca="1" si="4"/>
        <v>0</v>
      </c>
      <c r="K85" s="74">
        <f t="shared" ca="1" si="5"/>
        <v>0</v>
      </c>
      <c r="L85" s="79">
        <f t="shared" ca="1" si="6"/>
        <v>228</v>
      </c>
      <c r="M85" s="63">
        <f t="shared" si="11"/>
        <v>0</v>
      </c>
      <c r="N85" s="40">
        <f ca="1">AVERAGE(M85:OFFSET(M85,-(O$5-1),0))</f>
        <v>0.26666666666666666</v>
      </c>
      <c r="O85" s="64">
        <f t="shared" ca="1" si="7"/>
        <v>0</v>
      </c>
      <c r="P85" s="68">
        <f ca="1">AVERAGE(E85:OFFSET(E85,-(Q$5-1),0))</f>
        <v>6779.4</v>
      </c>
      <c r="Q85" s="41">
        <f ca="1">AVERAGE(E85:OFFSET(E85,-(Q$6-1),0))</f>
        <v>6943.45</v>
      </c>
      <c r="R85" s="64">
        <f t="shared" ca="1" si="8"/>
        <v>0</v>
      </c>
    </row>
    <row r="86" spans="1:18" x14ac:dyDescent="0.25">
      <c r="A86" s="47">
        <v>20080908</v>
      </c>
      <c r="B86" s="48">
        <v>6487</v>
      </c>
      <c r="C86" s="48">
        <v>6677</v>
      </c>
      <c r="D86" s="48">
        <v>6481</v>
      </c>
      <c r="E86" s="48">
        <v>6677</v>
      </c>
      <c r="F86" s="49">
        <v>59242</v>
      </c>
      <c r="G86" s="58">
        <f t="shared" si="10"/>
        <v>243</v>
      </c>
      <c r="H86" s="58">
        <f t="shared" si="9"/>
        <v>190</v>
      </c>
      <c r="I86" s="71">
        <f t="shared" ca="1" si="3"/>
        <v>0</v>
      </c>
      <c r="J86" s="73">
        <f t="shared" ca="1" si="4"/>
        <v>0</v>
      </c>
      <c r="K86" s="74">
        <f t="shared" ca="1" si="5"/>
        <v>0</v>
      </c>
      <c r="L86" s="79">
        <f t="shared" ca="1" si="6"/>
        <v>228</v>
      </c>
      <c r="M86" s="63">
        <f t="shared" si="11"/>
        <v>1</v>
      </c>
      <c r="N86" s="40">
        <f ca="1">AVERAGE(M86:OFFSET(M86,-(O$5-1),0))</f>
        <v>0.33333333333333331</v>
      </c>
      <c r="O86" s="64">
        <f t="shared" ca="1" si="7"/>
        <v>0</v>
      </c>
      <c r="P86" s="68">
        <f ca="1">AVERAGE(E86:OFFSET(E86,-(Q$5-1),0))</f>
        <v>6748.3</v>
      </c>
      <c r="Q86" s="41">
        <f ca="1">AVERAGE(E86:OFFSET(E86,-(Q$6-1),0))</f>
        <v>6912.85</v>
      </c>
      <c r="R86" s="64">
        <f t="shared" ca="1" si="8"/>
        <v>0</v>
      </c>
    </row>
    <row r="87" spans="1:18" x14ac:dyDescent="0.25">
      <c r="A87" s="47">
        <v>20080909</v>
      </c>
      <c r="B87" s="48">
        <v>6594</v>
      </c>
      <c r="C87" s="48">
        <v>6618</v>
      </c>
      <c r="D87" s="48">
        <v>6390</v>
      </c>
      <c r="E87" s="48">
        <v>6466</v>
      </c>
      <c r="F87" s="49">
        <v>74030</v>
      </c>
      <c r="G87" s="58">
        <f t="shared" si="10"/>
        <v>-83</v>
      </c>
      <c r="H87" s="58">
        <f t="shared" si="9"/>
        <v>-128</v>
      </c>
      <c r="I87" s="71">
        <f t="shared" ca="1" si="3"/>
        <v>0</v>
      </c>
      <c r="J87" s="73">
        <f t="shared" ca="1" si="4"/>
        <v>0</v>
      </c>
      <c r="K87" s="74">
        <f t="shared" ca="1" si="5"/>
        <v>0</v>
      </c>
      <c r="L87" s="79">
        <f t="shared" ca="1" si="6"/>
        <v>228</v>
      </c>
      <c r="M87" s="63">
        <f t="shared" si="11"/>
        <v>0</v>
      </c>
      <c r="N87" s="40">
        <f ca="1">AVERAGE(M87:OFFSET(M87,-(O$5-1),0))</f>
        <v>0.33333333333333331</v>
      </c>
      <c r="O87" s="64">
        <f t="shared" ca="1" si="7"/>
        <v>0</v>
      </c>
      <c r="P87" s="68">
        <f ca="1">AVERAGE(E87:OFFSET(E87,-(Q$5-1),0))</f>
        <v>6700.3</v>
      </c>
      <c r="Q87" s="41">
        <f ca="1">AVERAGE(E87:OFFSET(E87,-(Q$6-1),0))</f>
        <v>6872.65</v>
      </c>
      <c r="R87" s="64">
        <f t="shared" ca="1" si="8"/>
        <v>0</v>
      </c>
    </row>
    <row r="88" spans="1:18" x14ac:dyDescent="0.25">
      <c r="A88" s="47">
        <v>20080910</v>
      </c>
      <c r="B88" s="48">
        <v>6351</v>
      </c>
      <c r="C88" s="48">
        <v>6516</v>
      </c>
      <c r="D88" s="48">
        <v>6345</v>
      </c>
      <c r="E88" s="48">
        <v>6453</v>
      </c>
      <c r="F88" s="49">
        <v>85572</v>
      </c>
      <c r="G88" s="58">
        <f t="shared" si="10"/>
        <v>-115</v>
      </c>
      <c r="H88" s="58">
        <f t="shared" si="9"/>
        <v>102</v>
      </c>
      <c r="I88" s="71">
        <f t="shared" ca="1" si="3"/>
        <v>0</v>
      </c>
      <c r="J88" s="73">
        <f t="shared" ca="1" si="4"/>
        <v>0</v>
      </c>
      <c r="K88" s="74">
        <f t="shared" ca="1" si="5"/>
        <v>0</v>
      </c>
      <c r="L88" s="79">
        <f t="shared" ca="1" si="6"/>
        <v>228</v>
      </c>
      <c r="M88" s="63">
        <f t="shared" si="11"/>
        <v>0</v>
      </c>
      <c r="N88" s="40">
        <f ca="1">AVERAGE(M88:OFFSET(M88,-(O$5-1),0))</f>
        <v>0.26666666666666666</v>
      </c>
      <c r="O88" s="64">
        <f t="shared" ca="1" si="7"/>
        <v>0</v>
      </c>
      <c r="P88" s="68">
        <f ca="1">AVERAGE(E88:OFFSET(E88,-(Q$5-1),0))</f>
        <v>6637.4</v>
      </c>
      <c r="Q88" s="41">
        <f ca="1">AVERAGE(E88:OFFSET(E88,-(Q$6-1),0))</f>
        <v>6830.35</v>
      </c>
      <c r="R88" s="64">
        <f t="shared" ca="1" si="8"/>
        <v>0</v>
      </c>
    </row>
    <row r="89" spans="1:18" x14ac:dyDescent="0.25">
      <c r="A89" s="47">
        <v>20080911</v>
      </c>
      <c r="B89" s="48">
        <v>6437</v>
      </c>
      <c r="C89" s="48">
        <v>6438</v>
      </c>
      <c r="D89" s="48">
        <v>6203</v>
      </c>
      <c r="E89" s="48">
        <v>6230</v>
      </c>
      <c r="F89" s="49">
        <v>82808</v>
      </c>
      <c r="G89" s="58">
        <f t="shared" si="10"/>
        <v>-16</v>
      </c>
      <c r="H89" s="58">
        <f t="shared" si="9"/>
        <v>-207</v>
      </c>
      <c r="I89" s="71">
        <f t="shared" ca="1" si="3"/>
        <v>0</v>
      </c>
      <c r="J89" s="73">
        <f t="shared" ca="1" si="4"/>
        <v>0</v>
      </c>
      <c r="K89" s="74">
        <f t="shared" ca="1" si="5"/>
        <v>0</v>
      </c>
      <c r="L89" s="79">
        <f t="shared" ca="1" si="6"/>
        <v>228</v>
      </c>
      <c r="M89" s="63">
        <f t="shared" si="11"/>
        <v>0</v>
      </c>
      <c r="N89" s="40">
        <f ca="1">AVERAGE(M89:OFFSET(M89,-(O$5-1),0))</f>
        <v>0.26666666666666666</v>
      </c>
      <c r="O89" s="64">
        <f t="shared" ca="1" si="7"/>
        <v>0</v>
      </c>
      <c r="P89" s="68">
        <f ca="1">AVERAGE(E89:OFFSET(E89,-(Q$5-1),0))</f>
        <v>6556.3</v>
      </c>
      <c r="Q89" s="41">
        <f ca="1">AVERAGE(E89:OFFSET(E89,-(Q$6-1),0))</f>
        <v>6773.7</v>
      </c>
      <c r="R89" s="64">
        <f t="shared" ca="1" si="8"/>
        <v>0</v>
      </c>
    </row>
    <row r="90" spans="1:18" x14ac:dyDescent="0.25">
      <c r="A90" s="47">
        <v>20080912</v>
      </c>
      <c r="B90" s="48">
        <v>6354</v>
      </c>
      <c r="C90" s="48">
        <v>6369</v>
      </c>
      <c r="D90" s="48">
        <v>6153</v>
      </c>
      <c r="E90" s="48">
        <v>6288</v>
      </c>
      <c r="F90" s="49">
        <v>86372</v>
      </c>
      <c r="G90" s="58">
        <f t="shared" si="10"/>
        <v>124</v>
      </c>
      <c r="H90" s="58">
        <f t="shared" si="9"/>
        <v>-66</v>
      </c>
      <c r="I90" s="71">
        <f t="shared" ca="1" si="3"/>
        <v>0</v>
      </c>
      <c r="J90" s="73">
        <f t="shared" ca="1" si="4"/>
        <v>0</v>
      </c>
      <c r="K90" s="74">
        <f t="shared" ca="1" si="5"/>
        <v>0</v>
      </c>
      <c r="L90" s="79">
        <f t="shared" ca="1" si="6"/>
        <v>228</v>
      </c>
      <c r="M90" s="63">
        <f t="shared" si="11"/>
        <v>1</v>
      </c>
      <c r="N90" s="40">
        <f ca="1">AVERAGE(M90:OFFSET(M90,-(O$5-1),0))</f>
        <v>0.33333333333333331</v>
      </c>
      <c r="O90" s="64">
        <f t="shared" ca="1" si="7"/>
        <v>0</v>
      </c>
      <c r="P90" s="68">
        <f ca="1">AVERAGE(E90:OFFSET(E90,-(Q$5-1),0))</f>
        <v>6479.7</v>
      </c>
      <c r="Q90" s="41">
        <f ca="1">AVERAGE(E90:OFFSET(E90,-(Q$6-1),0))</f>
        <v>6727.3</v>
      </c>
      <c r="R90" s="64">
        <f t="shared" ca="1" si="8"/>
        <v>0</v>
      </c>
    </row>
    <row r="91" spans="1:18" x14ac:dyDescent="0.25">
      <c r="A91" s="47">
        <v>20080915</v>
      </c>
      <c r="B91" s="48">
        <v>6130</v>
      </c>
      <c r="C91" s="48">
        <v>6190</v>
      </c>
      <c r="D91" s="48">
        <v>5863</v>
      </c>
      <c r="E91" s="48">
        <v>5967</v>
      </c>
      <c r="F91" s="49">
        <v>79849</v>
      </c>
      <c r="G91" s="58">
        <f t="shared" si="10"/>
        <v>-158</v>
      </c>
      <c r="H91" s="58">
        <f t="shared" si="9"/>
        <v>-163</v>
      </c>
      <c r="I91" s="71">
        <f t="shared" ca="1" si="3"/>
        <v>0</v>
      </c>
      <c r="J91" s="73">
        <f t="shared" ca="1" si="4"/>
        <v>0</v>
      </c>
      <c r="K91" s="74">
        <f t="shared" ca="1" si="5"/>
        <v>0</v>
      </c>
      <c r="L91" s="79">
        <f t="shared" ca="1" si="6"/>
        <v>228</v>
      </c>
      <c r="M91" s="63">
        <f t="shared" si="11"/>
        <v>0</v>
      </c>
      <c r="N91" s="40">
        <f ca="1">AVERAGE(M91:OFFSET(M91,-(O$5-1),0))</f>
        <v>0.26666666666666666</v>
      </c>
      <c r="O91" s="64">
        <f t="shared" ca="1" si="7"/>
        <v>0</v>
      </c>
      <c r="P91" s="68">
        <f ca="1">AVERAGE(E91:OFFSET(E91,-(Q$5-1),0))</f>
        <v>6400.8</v>
      </c>
      <c r="Q91" s="41">
        <f ca="1">AVERAGE(E91:OFFSET(E91,-(Q$6-1),0))</f>
        <v>6676.65</v>
      </c>
      <c r="R91" s="64">
        <f t="shared" ca="1" si="8"/>
        <v>0</v>
      </c>
    </row>
    <row r="92" spans="1:18" x14ac:dyDescent="0.25">
      <c r="A92" s="47">
        <v>20080916</v>
      </c>
      <c r="B92" s="48">
        <v>5849</v>
      </c>
      <c r="C92" s="48">
        <v>5858</v>
      </c>
      <c r="D92" s="48">
        <v>5679</v>
      </c>
      <c r="E92" s="48">
        <v>5685</v>
      </c>
      <c r="F92" s="49">
        <v>87342</v>
      </c>
      <c r="G92" s="58">
        <f t="shared" si="10"/>
        <v>-118</v>
      </c>
      <c r="H92" s="58">
        <f t="shared" si="9"/>
        <v>-164</v>
      </c>
      <c r="I92" s="71">
        <f t="shared" ca="1" si="3"/>
        <v>0</v>
      </c>
      <c r="J92" s="73">
        <f t="shared" ca="1" si="4"/>
        <v>0</v>
      </c>
      <c r="K92" s="74">
        <f t="shared" ca="1" si="5"/>
        <v>0</v>
      </c>
      <c r="L92" s="79">
        <f t="shared" ca="1" si="6"/>
        <v>228</v>
      </c>
      <c r="M92" s="63">
        <f t="shared" si="11"/>
        <v>0</v>
      </c>
      <c r="N92" s="40">
        <f ca="1">AVERAGE(M92:OFFSET(M92,-(O$5-1),0))</f>
        <v>0.26666666666666666</v>
      </c>
      <c r="O92" s="64">
        <f t="shared" ca="1" si="7"/>
        <v>0</v>
      </c>
      <c r="P92" s="68">
        <f ca="1">AVERAGE(E92:OFFSET(E92,-(Q$5-1),0))</f>
        <v>6299.5</v>
      </c>
      <c r="Q92" s="41">
        <f ca="1">AVERAGE(E92:OFFSET(E92,-(Q$6-1),0))</f>
        <v>6614.1</v>
      </c>
      <c r="R92" s="64">
        <f t="shared" ca="1" si="8"/>
        <v>0</v>
      </c>
    </row>
    <row r="93" spans="1:18" x14ac:dyDescent="0.25">
      <c r="A93" s="47">
        <v>20080917</v>
      </c>
      <c r="B93" s="48">
        <v>5945</v>
      </c>
      <c r="C93" s="48">
        <v>5955</v>
      </c>
      <c r="D93" s="48">
        <v>5691</v>
      </c>
      <c r="E93" s="48">
        <v>5745</v>
      </c>
      <c r="F93" s="49">
        <v>55404</v>
      </c>
      <c r="G93" s="58">
        <f t="shared" si="10"/>
        <v>260</v>
      </c>
      <c r="H93" s="58">
        <f t="shared" si="9"/>
        <v>-200</v>
      </c>
      <c r="I93" s="71">
        <f t="shared" ca="1" si="3"/>
        <v>0</v>
      </c>
      <c r="J93" s="73">
        <f t="shared" ca="1" si="4"/>
        <v>0</v>
      </c>
      <c r="K93" s="74">
        <f t="shared" ca="1" si="5"/>
        <v>0</v>
      </c>
      <c r="L93" s="79">
        <f t="shared" ca="1" si="6"/>
        <v>228</v>
      </c>
      <c r="M93" s="63">
        <f t="shared" si="11"/>
        <v>1</v>
      </c>
      <c r="N93" s="40">
        <f ca="1">AVERAGE(M93:OFFSET(M93,-(O$5-1),0))</f>
        <v>0.26666666666666666</v>
      </c>
      <c r="O93" s="64">
        <f t="shared" ca="1" si="7"/>
        <v>0</v>
      </c>
      <c r="P93" s="68">
        <f ca="1">AVERAGE(E93:OFFSET(E93,-(Q$5-1),0))</f>
        <v>6215.2</v>
      </c>
      <c r="Q93" s="41">
        <f ca="1">AVERAGE(E93:OFFSET(E93,-(Q$6-1),0))</f>
        <v>6552.4</v>
      </c>
      <c r="R93" s="64">
        <f t="shared" ca="1" si="8"/>
        <v>0</v>
      </c>
    </row>
    <row r="94" spans="1:18" x14ac:dyDescent="0.25">
      <c r="A94" s="47">
        <v>20080918</v>
      </c>
      <c r="B94" s="48">
        <v>5551</v>
      </c>
      <c r="C94" s="48">
        <v>5590</v>
      </c>
      <c r="D94" s="48">
        <v>5416</v>
      </c>
      <c r="E94" s="48">
        <v>5522</v>
      </c>
      <c r="F94" s="49">
        <v>104742</v>
      </c>
      <c r="G94" s="58">
        <f t="shared" si="10"/>
        <v>-194</v>
      </c>
      <c r="H94" s="58">
        <f t="shared" si="9"/>
        <v>-29</v>
      </c>
      <c r="I94" s="71">
        <f t="shared" ca="1" si="3"/>
        <v>0</v>
      </c>
      <c r="J94" s="73">
        <f t="shared" ca="1" si="4"/>
        <v>0</v>
      </c>
      <c r="K94" s="74">
        <f t="shared" ca="1" si="5"/>
        <v>0</v>
      </c>
      <c r="L94" s="79">
        <f t="shared" ca="1" si="6"/>
        <v>228</v>
      </c>
      <c r="M94" s="63">
        <f t="shared" si="11"/>
        <v>0</v>
      </c>
      <c r="N94" s="40">
        <f ca="1">AVERAGE(M94:OFFSET(M94,-(O$5-1),0))</f>
        <v>0.26666666666666666</v>
      </c>
      <c r="O94" s="64">
        <f t="shared" ca="1" si="7"/>
        <v>0</v>
      </c>
      <c r="P94" s="68">
        <f ca="1">AVERAGE(E94:OFFSET(E94,-(Q$5-1),0))</f>
        <v>6127.7</v>
      </c>
      <c r="Q94" s="41">
        <f ca="1">AVERAGE(E94:OFFSET(E94,-(Q$6-1),0))</f>
        <v>6484.6</v>
      </c>
      <c r="R94" s="64">
        <f t="shared" ca="1" si="8"/>
        <v>0</v>
      </c>
    </row>
    <row r="95" spans="1:18" x14ac:dyDescent="0.25">
      <c r="A95" s="47">
        <v>20080919</v>
      </c>
      <c r="B95" s="48">
        <v>5806</v>
      </c>
      <c r="C95" s="48">
        <v>5908</v>
      </c>
      <c r="D95" s="48">
        <v>5785</v>
      </c>
      <c r="E95" s="48">
        <v>5908</v>
      </c>
      <c r="F95" s="49">
        <v>42325</v>
      </c>
      <c r="G95" s="58">
        <f t="shared" si="10"/>
        <v>284</v>
      </c>
      <c r="H95" s="58">
        <f t="shared" si="9"/>
        <v>102</v>
      </c>
      <c r="I95" s="71">
        <f t="shared" ca="1" si="3"/>
        <v>0</v>
      </c>
      <c r="J95" s="73">
        <f t="shared" ca="1" si="4"/>
        <v>0</v>
      </c>
      <c r="K95" s="74">
        <f t="shared" ca="1" si="5"/>
        <v>0</v>
      </c>
      <c r="L95" s="79">
        <f t="shared" ca="1" si="6"/>
        <v>228</v>
      </c>
      <c r="M95" s="63">
        <f t="shared" si="11"/>
        <v>1</v>
      </c>
      <c r="N95" s="40">
        <f ca="1">AVERAGE(M95:OFFSET(M95,-(O$5-1),0))</f>
        <v>0.26666666666666666</v>
      </c>
      <c r="O95" s="64">
        <f t="shared" ca="1" si="7"/>
        <v>0</v>
      </c>
      <c r="P95" s="68">
        <f ca="1">AVERAGE(E95:OFFSET(E95,-(Q$5-1),0))</f>
        <v>6094.1</v>
      </c>
      <c r="Q95" s="41">
        <f ca="1">AVERAGE(E95:OFFSET(E95,-(Q$6-1),0))</f>
        <v>6436.75</v>
      </c>
      <c r="R95" s="64">
        <f t="shared" ca="1" si="8"/>
        <v>0</v>
      </c>
    </row>
    <row r="96" spans="1:18" ht="17.25" customHeight="1" x14ac:dyDescent="0.25">
      <c r="A96" s="47">
        <v>20080922</v>
      </c>
      <c r="B96" s="48">
        <v>6120</v>
      </c>
      <c r="C96" s="48">
        <v>6122</v>
      </c>
      <c r="D96" s="48">
        <v>5956</v>
      </c>
      <c r="E96" s="48">
        <v>6089</v>
      </c>
      <c r="F96" s="49">
        <v>79567</v>
      </c>
      <c r="G96" s="58">
        <f t="shared" si="10"/>
        <v>212</v>
      </c>
      <c r="H96" s="58">
        <f t="shared" si="9"/>
        <v>-31</v>
      </c>
      <c r="I96" s="71">
        <f t="shared" ca="1" si="3"/>
        <v>0</v>
      </c>
      <c r="J96" s="73">
        <f t="shared" ca="1" si="4"/>
        <v>0</v>
      </c>
      <c r="K96" s="74">
        <f t="shared" ca="1" si="5"/>
        <v>0</v>
      </c>
      <c r="L96" s="79">
        <f t="shared" ca="1" si="6"/>
        <v>228</v>
      </c>
      <c r="M96" s="63">
        <f t="shared" si="11"/>
        <v>1</v>
      </c>
      <c r="N96" s="40">
        <f ca="1">AVERAGE(M96:OFFSET(M96,-(O$5-1),0))</f>
        <v>0.33333333333333331</v>
      </c>
      <c r="O96" s="64">
        <f t="shared" ca="1" si="7"/>
        <v>0</v>
      </c>
      <c r="P96" s="68">
        <f ca="1">AVERAGE(E96:OFFSET(E96,-(Q$5-1),0))</f>
        <v>6035.3</v>
      </c>
      <c r="Q96" s="41">
        <f ca="1">AVERAGE(E96:OFFSET(E96,-(Q$6-1),0))</f>
        <v>6391.8</v>
      </c>
      <c r="R96" s="64">
        <f t="shared" ca="1" si="8"/>
        <v>0</v>
      </c>
    </row>
    <row r="97" spans="1:18" x14ac:dyDescent="0.25">
      <c r="A97" s="47">
        <v>20080923</v>
      </c>
      <c r="B97" s="48">
        <v>6030</v>
      </c>
      <c r="C97" s="48">
        <v>6150</v>
      </c>
      <c r="D97" s="48">
        <v>5995</v>
      </c>
      <c r="E97" s="48">
        <v>6135</v>
      </c>
      <c r="F97" s="49">
        <v>72428</v>
      </c>
      <c r="G97" s="58">
        <f t="shared" si="10"/>
        <v>-59</v>
      </c>
      <c r="H97" s="58">
        <f t="shared" si="9"/>
        <v>105</v>
      </c>
      <c r="I97" s="71">
        <f t="shared" ca="1" si="3"/>
        <v>0</v>
      </c>
      <c r="J97" s="73">
        <f t="shared" ca="1" si="4"/>
        <v>0</v>
      </c>
      <c r="K97" s="74">
        <f t="shared" ca="1" si="5"/>
        <v>0</v>
      </c>
      <c r="L97" s="79">
        <f t="shared" ca="1" si="6"/>
        <v>228</v>
      </c>
      <c r="M97" s="63">
        <f t="shared" si="11"/>
        <v>1</v>
      </c>
      <c r="N97" s="40">
        <f ca="1">AVERAGE(M97:OFFSET(M97,-(O$5-1),0))</f>
        <v>0.4</v>
      </c>
      <c r="O97" s="64">
        <f t="shared" ca="1" si="7"/>
        <v>0</v>
      </c>
      <c r="P97" s="68">
        <f ca="1">AVERAGE(E97:OFFSET(E97,-(Q$5-1),0))</f>
        <v>6002.2</v>
      </c>
      <c r="Q97" s="41">
        <f ca="1">AVERAGE(E97:OFFSET(E97,-(Q$6-1),0))</f>
        <v>6351.25</v>
      </c>
      <c r="R97" s="64">
        <f t="shared" ca="1" si="8"/>
        <v>0</v>
      </c>
    </row>
    <row r="98" spans="1:18" x14ac:dyDescent="0.25">
      <c r="A98" s="47">
        <v>20080924</v>
      </c>
      <c r="B98" s="48">
        <v>6117</v>
      </c>
      <c r="C98" s="48">
        <v>6195</v>
      </c>
      <c r="D98" s="48">
        <v>6075</v>
      </c>
      <c r="E98" s="48">
        <v>6155</v>
      </c>
      <c r="F98" s="49">
        <v>78510</v>
      </c>
      <c r="G98" s="58">
        <f t="shared" si="10"/>
        <v>-18</v>
      </c>
      <c r="H98" s="58">
        <f t="shared" si="9"/>
        <v>38</v>
      </c>
      <c r="I98" s="71">
        <f t="shared" ca="1" si="3"/>
        <v>0</v>
      </c>
      <c r="J98" s="73">
        <f t="shared" ca="1" si="4"/>
        <v>0</v>
      </c>
      <c r="K98" s="74">
        <f t="shared" ca="1" si="5"/>
        <v>0</v>
      </c>
      <c r="L98" s="79">
        <f t="shared" ca="1" si="6"/>
        <v>228</v>
      </c>
      <c r="M98" s="63">
        <f t="shared" si="11"/>
        <v>1</v>
      </c>
      <c r="N98" s="40">
        <f ca="1">AVERAGE(M98:OFFSET(M98,-(O$5-1),0))</f>
        <v>0.46666666666666667</v>
      </c>
      <c r="O98" s="64">
        <f t="shared" ca="1" si="7"/>
        <v>0</v>
      </c>
      <c r="P98" s="68">
        <f ca="1">AVERAGE(E98:OFFSET(E98,-(Q$5-1),0))</f>
        <v>5972.4</v>
      </c>
      <c r="Q98" s="41">
        <f ca="1">AVERAGE(E98:OFFSET(E98,-(Q$6-1),0))</f>
        <v>6304.9</v>
      </c>
      <c r="R98" s="64">
        <f t="shared" ca="1" si="8"/>
        <v>0</v>
      </c>
    </row>
    <row r="99" spans="1:18" x14ac:dyDescent="0.25">
      <c r="A99" s="47">
        <v>20080925</v>
      </c>
      <c r="B99" s="48">
        <v>6000</v>
      </c>
      <c r="C99" s="48">
        <v>6159</v>
      </c>
      <c r="D99" s="48">
        <v>5961</v>
      </c>
      <c r="E99" s="48">
        <v>6058</v>
      </c>
      <c r="F99" s="49">
        <v>77756</v>
      </c>
      <c r="G99" s="58">
        <f t="shared" si="10"/>
        <v>-155</v>
      </c>
      <c r="H99" s="58">
        <f t="shared" si="9"/>
        <v>58</v>
      </c>
      <c r="I99" s="71">
        <f t="shared" ca="1" si="3"/>
        <v>0</v>
      </c>
      <c r="J99" s="73">
        <f t="shared" ca="1" si="4"/>
        <v>0</v>
      </c>
      <c r="K99" s="74">
        <f t="shared" ca="1" si="5"/>
        <v>0</v>
      </c>
      <c r="L99" s="79">
        <f t="shared" ca="1" si="6"/>
        <v>228</v>
      </c>
      <c r="M99" s="63">
        <f t="shared" si="11"/>
        <v>0</v>
      </c>
      <c r="N99" s="40">
        <f ca="1">AVERAGE(M99:OFFSET(M99,-(O$5-1),0))</f>
        <v>0.46666666666666667</v>
      </c>
      <c r="O99" s="64">
        <f t="shared" ca="1" si="7"/>
        <v>0</v>
      </c>
      <c r="P99" s="68">
        <f ca="1">AVERAGE(E99:OFFSET(E99,-(Q$5-1),0))</f>
        <v>5955.2</v>
      </c>
      <c r="Q99" s="41">
        <f ca="1">AVERAGE(E99:OFFSET(E99,-(Q$6-1),0))</f>
        <v>6255.75</v>
      </c>
      <c r="R99" s="64">
        <f t="shared" ca="1" si="8"/>
        <v>0</v>
      </c>
    </row>
    <row r="100" spans="1:18" x14ac:dyDescent="0.25">
      <c r="A100" s="47">
        <v>20080926</v>
      </c>
      <c r="B100" s="48">
        <v>6050</v>
      </c>
      <c r="C100" s="48">
        <v>6061</v>
      </c>
      <c r="D100" s="48">
        <v>5819</v>
      </c>
      <c r="E100" s="48">
        <v>5866</v>
      </c>
      <c r="F100" s="49">
        <v>83524</v>
      </c>
      <c r="G100" s="58">
        <f t="shared" si="10"/>
        <v>-8</v>
      </c>
      <c r="H100" s="58">
        <f t="shared" si="9"/>
        <v>-184</v>
      </c>
      <c r="I100" s="71">
        <f t="shared" ca="1" si="3"/>
        <v>0</v>
      </c>
      <c r="J100" s="73">
        <f t="shared" ca="1" si="4"/>
        <v>0</v>
      </c>
      <c r="K100" s="74">
        <f t="shared" ca="1" si="5"/>
        <v>0</v>
      </c>
      <c r="L100" s="79">
        <f t="shared" ca="1" si="6"/>
        <v>228</v>
      </c>
      <c r="M100" s="63">
        <f t="shared" si="11"/>
        <v>0</v>
      </c>
      <c r="N100" s="40">
        <f ca="1">AVERAGE(M100:OFFSET(M100,-(O$5-1),0))</f>
        <v>0.46666666666666667</v>
      </c>
      <c r="O100" s="64">
        <f t="shared" ca="1" si="7"/>
        <v>0</v>
      </c>
      <c r="P100" s="68">
        <f ca="1">AVERAGE(E100:OFFSET(E100,-(Q$5-1),0))</f>
        <v>5913</v>
      </c>
      <c r="Q100" s="41">
        <f ca="1">AVERAGE(E100:OFFSET(E100,-(Q$6-1),0))</f>
        <v>6196.35</v>
      </c>
      <c r="R100" s="64">
        <f t="shared" ca="1" si="8"/>
        <v>0</v>
      </c>
    </row>
    <row r="101" spans="1:18" x14ac:dyDescent="0.25">
      <c r="A101" s="47">
        <v>20080930</v>
      </c>
      <c r="B101" s="48">
        <v>5459</v>
      </c>
      <c r="C101" s="48">
        <v>5587</v>
      </c>
      <c r="D101" s="48">
        <v>5459</v>
      </c>
      <c r="E101" s="48">
        <v>5549</v>
      </c>
      <c r="F101" s="49">
        <v>51309</v>
      </c>
      <c r="G101" s="58">
        <f t="shared" si="10"/>
        <v>-407</v>
      </c>
      <c r="H101" s="58">
        <f t="shared" si="9"/>
        <v>90</v>
      </c>
      <c r="I101" s="71">
        <f t="shared" ca="1" si="3"/>
        <v>0</v>
      </c>
      <c r="J101" s="73">
        <f t="shared" ca="1" si="4"/>
        <v>0</v>
      </c>
      <c r="K101" s="74">
        <f t="shared" ca="1" si="5"/>
        <v>0</v>
      </c>
      <c r="L101" s="79">
        <f t="shared" ca="1" si="6"/>
        <v>228</v>
      </c>
      <c r="M101" s="63">
        <f t="shared" si="11"/>
        <v>0</v>
      </c>
      <c r="N101" s="40">
        <f ca="1">AVERAGE(M101:OFFSET(M101,-(O$5-1),0))</f>
        <v>0.4</v>
      </c>
      <c r="O101" s="64">
        <f t="shared" ca="1" si="7"/>
        <v>0</v>
      </c>
      <c r="P101" s="68">
        <f ca="1">AVERAGE(E101:OFFSET(E101,-(Q$5-1),0))</f>
        <v>5871.2</v>
      </c>
      <c r="Q101" s="41">
        <f ca="1">AVERAGE(E101:OFFSET(E101,-(Q$6-1),0))</f>
        <v>6136</v>
      </c>
      <c r="R101" s="64">
        <f t="shared" ca="1" si="8"/>
        <v>0</v>
      </c>
    </row>
    <row r="102" spans="1:18" x14ac:dyDescent="0.25">
      <c r="A102" s="47">
        <v>20081001</v>
      </c>
      <c r="B102" s="48">
        <v>5599</v>
      </c>
      <c r="C102" s="48">
        <v>5718</v>
      </c>
      <c r="D102" s="48">
        <v>5598</v>
      </c>
      <c r="E102" s="48">
        <v>5676</v>
      </c>
      <c r="F102" s="49">
        <v>70136</v>
      </c>
      <c r="G102" s="58">
        <f t="shared" si="10"/>
        <v>50</v>
      </c>
      <c r="H102" s="58">
        <f t="shared" si="9"/>
        <v>77</v>
      </c>
      <c r="I102" s="71">
        <f t="shared" ca="1" si="3"/>
        <v>0</v>
      </c>
      <c r="J102" s="73">
        <f t="shared" ca="1" si="4"/>
        <v>0</v>
      </c>
      <c r="K102" s="74">
        <f t="shared" ca="1" si="5"/>
        <v>0</v>
      </c>
      <c r="L102" s="79">
        <f t="shared" ca="1" si="6"/>
        <v>228</v>
      </c>
      <c r="M102" s="63">
        <f t="shared" si="11"/>
        <v>1</v>
      </c>
      <c r="N102" s="40">
        <f ca="1">AVERAGE(M102:OFFSET(M102,-(O$5-1),0))</f>
        <v>0.46666666666666667</v>
      </c>
      <c r="O102" s="64">
        <f t="shared" ca="1" si="7"/>
        <v>0</v>
      </c>
      <c r="P102" s="68">
        <f ca="1">AVERAGE(E102:OFFSET(E102,-(Q$5-1),0))</f>
        <v>5870.3</v>
      </c>
      <c r="Q102" s="41">
        <f ca="1">AVERAGE(E102:OFFSET(E102,-(Q$6-1),0))</f>
        <v>6084.9</v>
      </c>
      <c r="R102" s="64">
        <f t="shared" ca="1" si="8"/>
        <v>0</v>
      </c>
    </row>
    <row r="103" spans="1:18" x14ac:dyDescent="0.25">
      <c r="A103" s="47">
        <v>20081002</v>
      </c>
      <c r="B103" s="48">
        <v>5721</v>
      </c>
      <c r="C103" s="48">
        <v>5739</v>
      </c>
      <c r="D103" s="48">
        <v>5555</v>
      </c>
      <c r="E103" s="48">
        <v>5618</v>
      </c>
      <c r="F103" s="49">
        <v>80906</v>
      </c>
      <c r="G103" s="58">
        <f t="shared" si="10"/>
        <v>45</v>
      </c>
      <c r="H103" s="58">
        <f t="shared" si="9"/>
        <v>-103</v>
      </c>
      <c r="I103" s="71">
        <f t="shared" ca="1" si="3"/>
        <v>0</v>
      </c>
      <c r="J103" s="73">
        <f t="shared" ca="1" si="4"/>
        <v>0</v>
      </c>
      <c r="K103" s="74">
        <f t="shared" ca="1" si="5"/>
        <v>0</v>
      </c>
      <c r="L103" s="79">
        <f t="shared" ca="1" si="6"/>
        <v>228</v>
      </c>
      <c r="M103" s="63">
        <f t="shared" si="11"/>
        <v>0</v>
      </c>
      <c r="N103" s="40">
        <f ca="1">AVERAGE(M103:OFFSET(M103,-(O$5-1),0))</f>
        <v>0.46666666666666667</v>
      </c>
      <c r="O103" s="64">
        <f t="shared" ca="1" si="7"/>
        <v>0</v>
      </c>
      <c r="P103" s="68">
        <f ca="1">AVERAGE(E103:OFFSET(E103,-(Q$5-1),0))</f>
        <v>5857.6</v>
      </c>
      <c r="Q103" s="41">
        <f ca="1">AVERAGE(E103:OFFSET(E103,-(Q$6-1),0))</f>
        <v>6036.4</v>
      </c>
      <c r="R103" s="64">
        <f t="shared" ca="1" si="8"/>
        <v>0</v>
      </c>
    </row>
    <row r="104" spans="1:18" x14ac:dyDescent="0.25">
      <c r="A104" s="47">
        <v>20081003</v>
      </c>
      <c r="B104" s="48">
        <v>5550</v>
      </c>
      <c r="C104" s="48">
        <v>5685</v>
      </c>
      <c r="D104" s="48">
        <v>5490</v>
      </c>
      <c r="E104" s="48">
        <v>5645</v>
      </c>
      <c r="F104" s="49">
        <v>78624</v>
      </c>
      <c r="G104" s="58">
        <f t="shared" si="10"/>
        <v>-68</v>
      </c>
      <c r="H104" s="58">
        <f t="shared" si="9"/>
        <v>95</v>
      </c>
      <c r="I104" s="71">
        <f t="shared" ca="1" si="3"/>
        <v>0</v>
      </c>
      <c r="J104" s="73">
        <f t="shared" ca="1" si="4"/>
        <v>0</v>
      </c>
      <c r="K104" s="74">
        <f t="shared" ca="1" si="5"/>
        <v>0</v>
      </c>
      <c r="L104" s="79">
        <f t="shared" ca="1" si="6"/>
        <v>228</v>
      </c>
      <c r="M104" s="63">
        <f t="shared" si="11"/>
        <v>1</v>
      </c>
      <c r="N104" s="40">
        <f ca="1">AVERAGE(M104:OFFSET(M104,-(O$5-1),0))</f>
        <v>0.53333333333333333</v>
      </c>
      <c r="O104" s="64">
        <f t="shared" ca="1" si="7"/>
        <v>0</v>
      </c>
      <c r="P104" s="68">
        <f ca="1">AVERAGE(E104:OFFSET(E104,-(Q$5-1),0))</f>
        <v>5869.9</v>
      </c>
      <c r="Q104" s="41">
        <f ca="1">AVERAGE(E104:OFFSET(E104,-(Q$6-1),0))</f>
        <v>5998.8</v>
      </c>
      <c r="R104" s="64">
        <f t="shared" ca="1" si="8"/>
        <v>0</v>
      </c>
    </row>
    <row r="105" spans="1:18" x14ac:dyDescent="0.25">
      <c r="A105" s="47">
        <v>20081006</v>
      </c>
      <c r="B105" s="48">
        <v>5488</v>
      </c>
      <c r="C105" s="48">
        <v>5500</v>
      </c>
      <c r="D105" s="48">
        <v>5382</v>
      </c>
      <c r="E105" s="48">
        <v>5387</v>
      </c>
      <c r="F105" s="49">
        <v>72476</v>
      </c>
      <c r="G105" s="58">
        <f t="shared" si="10"/>
        <v>-157</v>
      </c>
      <c r="H105" s="58">
        <f t="shared" si="9"/>
        <v>-101</v>
      </c>
      <c r="I105" s="71">
        <f t="shared" ca="1" si="3"/>
        <v>0</v>
      </c>
      <c r="J105" s="73">
        <f t="shared" ca="1" si="4"/>
        <v>0</v>
      </c>
      <c r="K105" s="74">
        <f t="shared" ca="1" si="5"/>
        <v>0</v>
      </c>
      <c r="L105" s="79">
        <f t="shared" ca="1" si="6"/>
        <v>228</v>
      </c>
      <c r="M105" s="63">
        <f t="shared" si="11"/>
        <v>0</v>
      </c>
      <c r="N105" s="40">
        <f ca="1">AVERAGE(M105:OFFSET(M105,-(O$5-1),0))</f>
        <v>0.46666666666666667</v>
      </c>
      <c r="O105" s="64">
        <f t="shared" ca="1" si="7"/>
        <v>0</v>
      </c>
      <c r="P105" s="68">
        <f ca="1">AVERAGE(E105:OFFSET(E105,-(Q$5-1),0))</f>
        <v>5817.8</v>
      </c>
      <c r="Q105" s="41">
        <f ca="1">AVERAGE(E105:OFFSET(E105,-(Q$6-1),0))</f>
        <v>5955.95</v>
      </c>
      <c r="R105" s="64">
        <f t="shared" ca="1" si="8"/>
        <v>0</v>
      </c>
    </row>
    <row r="106" spans="1:18" x14ac:dyDescent="0.25">
      <c r="A106" s="47">
        <v>20081007</v>
      </c>
      <c r="B106" s="48">
        <v>5250</v>
      </c>
      <c r="C106" s="48">
        <v>5485</v>
      </c>
      <c r="D106" s="48">
        <v>5222</v>
      </c>
      <c r="E106" s="48">
        <v>5445</v>
      </c>
      <c r="F106" s="49">
        <v>91113</v>
      </c>
      <c r="G106" s="58">
        <f t="shared" si="10"/>
        <v>-137</v>
      </c>
      <c r="H106" s="58">
        <f t="shared" si="9"/>
        <v>195</v>
      </c>
      <c r="I106" s="71">
        <f t="shared" ca="1" si="3"/>
        <v>0</v>
      </c>
      <c r="J106" s="73">
        <f t="shared" ca="1" si="4"/>
        <v>0</v>
      </c>
      <c r="K106" s="74">
        <f t="shared" ca="1" si="5"/>
        <v>0</v>
      </c>
      <c r="L106" s="79">
        <f t="shared" ca="1" si="6"/>
        <v>228</v>
      </c>
      <c r="M106" s="63">
        <f t="shared" si="11"/>
        <v>1</v>
      </c>
      <c r="N106" s="40">
        <f ca="1">AVERAGE(M106:OFFSET(M106,-(O$5-1),0))</f>
        <v>0.53333333333333333</v>
      </c>
      <c r="O106" s="64">
        <f t="shared" ca="1" si="7"/>
        <v>0</v>
      </c>
      <c r="P106" s="68">
        <f ca="1">AVERAGE(E106:OFFSET(E106,-(Q$5-1),0))</f>
        <v>5753.4</v>
      </c>
      <c r="Q106" s="41">
        <f ca="1">AVERAGE(E106:OFFSET(E106,-(Q$6-1),0))</f>
        <v>5894.35</v>
      </c>
      <c r="R106" s="64">
        <f t="shared" ca="1" si="8"/>
        <v>0</v>
      </c>
    </row>
    <row r="107" spans="1:18" x14ac:dyDescent="0.25">
      <c r="A107" s="47">
        <v>20081008</v>
      </c>
      <c r="B107" s="48">
        <v>5249</v>
      </c>
      <c r="C107" s="48">
        <v>5345</v>
      </c>
      <c r="D107" s="48">
        <v>5065</v>
      </c>
      <c r="E107" s="48">
        <v>5112</v>
      </c>
      <c r="F107" s="49">
        <v>105393</v>
      </c>
      <c r="G107" s="58">
        <f t="shared" si="10"/>
        <v>-196</v>
      </c>
      <c r="H107" s="58">
        <f t="shared" si="9"/>
        <v>-137</v>
      </c>
      <c r="I107" s="71">
        <f t="shared" ca="1" si="3"/>
        <v>0</v>
      </c>
      <c r="J107" s="73">
        <f t="shared" ca="1" si="4"/>
        <v>0</v>
      </c>
      <c r="K107" s="74">
        <f t="shared" ca="1" si="5"/>
        <v>0</v>
      </c>
      <c r="L107" s="79">
        <f t="shared" ca="1" si="6"/>
        <v>228</v>
      </c>
      <c r="M107" s="63">
        <f t="shared" si="11"/>
        <v>0</v>
      </c>
      <c r="N107" s="40">
        <f ca="1">AVERAGE(M107:OFFSET(M107,-(O$5-1),0))</f>
        <v>0.53333333333333333</v>
      </c>
      <c r="O107" s="64">
        <f t="shared" ca="1" si="7"/>
        <v>0</v>
      </c>
      <c r="P107" s="68">
        <f ca="1">AVERAGE(E107:OFFSET(E107,-(Q$5-1),0))</f>
        <v>5651.1</v>
      </c>
      <c r="Q107" s="41">
        <f ca="1">AVERAGE(E107:OFFSET(E107,-(Q$6-1),0))</f>
        <v>5826.65</v>
      </c>
      <c r="R107" s="64">
        <f t="shared" ca="1" si="8"/>
        <v>0</v>
      </c>
    </row>
    <row r="108" spans="1:18" x14ac:dyDescent="0.25">
      <c r="A108" s="47">
        <v>20081009</v>
      </c>
      <c r="B108" s="48">
        <v>5186</v>
      </c>
      <c r="C108" s="48">
        <v>5254</v>
      </c>
      <c r="D108" s="48">
        <v>5058</v>
      </c>
      <c r="E108" s="48">
        <v>5062</v>
      </c>
      <c r="F108" s="49">
        <v>110499</v>
      </c>
      <c r="G108" s="58">
        <f t="shared" si="10"/>
        <v>74</v>
      </c>
      <c r="H108" s="58">
        <f t="shared" si="9"/>
        <v>-124</v>
      </c>
      <c r="I108" s="71">
        <f t="shared" ca="1" si="3"/>
        <v>0</v>
      </c>
      <c r="J108" s="73">
        <f t="shared" ca="1" si="4"/>
        <v>0</v>
      </c>
      <c r="K108" s="74">
        <f t="shared" ca="1" si="5"/>
        <v>0</v>
      </c>
      <c r="L108" s="79">
        <f t="shared" ca="1" si="6"/>
        <v>228</v>
      </c>
      <c r="M108" s="63">
        <f t="shared" si="11"/>
        <v>0</v>
      </c>
      <c r="N108" s="40">
        <f ca="1">AVERAGE(M108:OFFSET(M108,-(O$5-1),0))</f>
        <v>0.46666666666666667</v>
      </c>
      <c r="O108" s="64">
        <f t="shared" ca="1" si="7"/>
        <v>0</v>
      </c>
      <c r="P108" s="68">
        <f ca="1">AVERAGE(E108:OFFSET(E108,-(Q$5-1),0))</f>
        <v>5541.8</v>
      </c>
      <c r="Q108" s="41">
        <f ca="1">AVERAGE(E108:OFFSET(E108,-(Q$6-1),0))</f>
        <v>5757.1</v>
      </c>
      <c r="R108" s="64">
        <f t="shared" ca="1" si="8"/>
        <v>0</v>
      </c>
    </row>
    <row r="109" spans="1:18" x14ac:dyDescent="0.25">
      <c r="A109" s="47">
        <v>20081013</v>
      </c>
      <c r="B109" s="48">
        <v>4885</v>
      </c>
      <c r="C109" s="48">
        <v>4978</v>
      </c>
      <c r="D109" s="48">
        <v>4885</v>
      </c>
      <c r="E109" s="48">
        <v>4945</v>
      </c>
      <c r="F109" s="49">
        <v>62516</v>
      </c>
      <c r="G109" s="58">
        <f t="shared" si="10"/>
        <v>-177</v>
      </c>
      <c r="H109" s="58">
        <f t="shared" si="9"/>
        <v>60</v>
      </c>
      <c r="I109" s="71">
        <f t="shared" ca="1" si="3"/>
        <v>0</v>
      </c>
      <c r="J109" s="73">
        <f t="shared" ca="1" si="4"/>
        <v>0</v>
      </c>
      <c r="K109" s="74">
        <f t="shared" ca="1" si="5"/>
        <v>0</v>
      </c>
      <c r="L109" s="79">
        <f t="shared" ca="1" si="6"/>
        <v>228</v>
      </c>
      <c r="M109" s="63">
        <f t="shared" si="11"/>
        <v>0</v>
      </c>
      <c r="N109" s="40">
        <f ca="1">AVERAGE(M109:OFFSET(M109,-(O$5-1),0))</f>
        <v>0.46666666666666667</v>
      </c>
      <c r="O109" s="64">
        <f t="shared" ca="1" si="7"/>
        <v>0</v>
      </c>
      <c r="P109" s="68">
        <f ca="1">AVERAGE(E109:OFFSET(E109,-(Q$5-1),0))</f>
        <v>5430.5</v>
      </c>
      <c r="Q109" s="41">
        <f ca="1">AVERAGE(E109:OFFSET(E109,-(Q$6-1),0))</f>
        <v>5692.85</v>
      </c>
      <c r="R109" s="64">
        <f t="shared" ca="1" si="8"/>
        <v>0</v>
      </c>
    </row>
    <row r="110" spans="1:18" x14ac:dyDescent="0.25">
      <c r="A110" s="47">
        <v>20081014</v>
      </c>
      <c r="B110" s="48">
        <v>5286</v>
      </c>
      <c r="C110" s="48">
        <v>5287</v>
      </c>
      <c r="D110" s="48">
        <v>5236</v>
      </c>
      <c r="E110" s="48">
        <v>5287</v>
      </c>
      <c r="F110" s="49">
        <v>40302</v>
      </c>
      <c r="G110" s="58">
        <f t="shared" si="10"/>
        <v>341</v>
      </c>
      <c r="H110" s="58">
        <f t="shared" si="9"/>
        <v>1</v>
      </c>
      <c r="I110" s="71">
        <f t="shared" ca="1" si="3"/>
        <v>0</v>
      </c>
      <c r="J110" s="73">
        <f t="shared" ca="1" si="4"/>
        <v>0</v>
      </c>
      <c r="K110" s="74">
        <f t="shared" ca="1" si="5"/>
        <v>0</v>
      </c>
      <c r="L110" s="79">
        <f t="shared" ca="1" si="6"/>
        <v>228</v>
      </c>
      <c r="M110" s="63">
        <f t="shared" si="11"/>
        <v>1</v>
      </c>
      <c r="N110" s="40">
        <f ca="1">AVERAGE(M110:OFFSET(M110,-(O$5-1),0))</f>
        <v>0.46666666666666667</v>
      </c>
      <c r="O110" s="64">
        <f t="shared" ca="1" si="7"/>
        <v>0</v>
      </c>
      <c r="P110" s="68">
        <f ca="1">AVERAGE(E110:OFFSET(E110,-(Q$5-1),0))</f>
        <v>5372.6</v>
      </c>
      <c r="Q110" s="41">
        <f ca="1">AVERAGE(E110:OFFSET(E110,-(Q$6-1),0))</f>
        <v>5642.8</v>
      </c>
      <c r="R110" s="64">
        <f t="shared" ca="1" si="8"/>
        <v>0</v>
      </c>
    </row>
    <row r="111" spans="1:18" x14ac:dyDescent="0.25">
      <c r="A111" s="47">
        <v>20081015</v>
      </c>
      <c r="B111" s="48">
        <v>5192</v>
      </c>
      <c r="C111" s="48">
        <v>5229</v>
      </c>
      <c r="D111" s="48">
        <v>5078</v>
      </c>
      <c r="E111" s="48">
        <v>5160</v>
      </c>
      <c r="F111" s="49">
        <v>44644</v>
      </c>
      <c r="G111" s="58">
        <f t="shared" si="10"/>
        <v>-95</v>
      </c>
      <c r="H111" s="58">
        <f t="shared" si="9"/>
        <v>-32</v>
      </c>
      <c r="I111" s="71">
        <f t="shared" ca="1" si="3"/>
        <v>0</v>
      </c>
      <c r="J111" s="73">
        <f t="shared" ca="1" si="4"/>
        <v>0</v>
      </c>
      <c r="K111" s="74">
        <f t="shared" ca="1" si="5"/>
        <v>0</v>
      </c>
      <c r="L111" s="79">
        <f t="shared" ca="1" si="6"/>
        <v>228</v>
      </c>
      <c r="M111" s="63">
        <f t="shared" si="11"/>
        <v>0</v>
      </c>
      <c r="N111" s="40">
        <f ca="1">AVERAGE(M111:OFFSET(M111,-(O$5-1),0))</f>
        <v>0.4</v>
      </c>
      <c r="O111" s="64">
        <f t="shared" ca="1" si="7"/>
        <v>0</v>
      </c>
      <c r="P111" s="68">
        <f ca="1">AVERAGE(E111:OFFSET(E111,-(Q$5-1),0))</f>
        <v>5333.7</v>
      </c>
      <c r="Q111" s="41">
        <f ca="1">AVERAGE(E111:OFFSET(E111,-(Q$6-1),0))</f>
        <v>5602.45</v>
      </c>
      <c r="R111" s="64">
        <f t="shared" ca="1" si="8"/>
        <v>0</v>
      </c>
    </row>
    <row r="112" spans="1:18" x14ac:dyDescent="0.25">
      <c r="A112" s="47">
        <v>20081016</v>
      </c>
      <c r="B112" s="48">
        <v>4978</v>
      </c>
      <c r="C112" s="48">
        <v>4978</v>
      </c>
      <c r="D112" s="48">
        <v>4978</v>
      </c>
      <c r="E112" s="48">
        <v>4978</v>
      </c>
      <c r="F112" s="49">
        <v>2305</v>
      </c>
      <c r="G112" s="58">
        <f t="shared" si="10"/>
        <v>-182</v>
      </c>
      <c r="H112" s="58">
        <f t="shared" si="9"/>
        <v>0</v>
      </c>
      <c r="I112" s="71">
        <f t="shared" ca="1" si="3"/>
        <v>0</v>
      </c>
      <c r="J112" s="73">
        <f t="shared" ca="1" si="4"/>
        <v>0</v>
      </c>
      <c r="K112" s="74">
        <f t="shared" ca="1" si="5"/>
        <v>0</v>
      </c>
      <c r="L112" s="79">
        <f t="shared" ca="1" si="6"/>
        <v>228</v>
      </c>
      <c r="M112" s="63">
        <f t="shared" si="11"/>
        <v>0</v>
      </c>
      <c r="N112" s="40">
        <f ca="1">AVERAGE(M112:OFFSET(M112,-(O$5-1),0))</f>
        <v>0.33333333333333331</v>
      </c>
      <c r="O112" s="64">
        <f t="shared" ca="1" si="7"/>
        <v>0</v>
      </c>
      <c r="P112" s="68">
        <f ca="1">AVERAGE(E112:OFFSET(E112,-(Q$5-1),0))</f>
        <v>5263.9</v>
      </c>
      <c r="Q112" s="41">
        <f ca="1">AVERAGE(E112:OFFSET(E112,-(Q$6-1),0))</f>
        <v>5567.1</v>
      </c>
      <c r="R112" s="64">
        <f t="shared" ca="1" si="8"/>
        <v>0</v>
      </c>
    </row>
    <row r="113" spans="1:18" x14ac:dyDescent="0.25">
      <c r="A113" s="47">
        <v>20081017</v>
      </c>
      <c r="B113" s="48">
        <v>4894</v>
      </c>
      <c r="C113" s="48">
        <v>4968</v>
      </c>
      <c r="D113" s="48">
        <v>4804</v>
      </c>
      <c r="E113" s="48">
        <v>4804</v>
      </c>
      <c r="F113" s="49">
        <v>72057</v>
      </c>
      <c r="G113" s="58">
        <f t="shared" si="10"/>
        <v>-84</v>
      </c>
      <c r="H113" s="58">
        <f t="shared" si="9"/>
        <v>-90</v>
      </c>
      <c r="I113" s="71">
        <f t="shared" ca="1" si="3"/>
        <v>0</v>
      </c>
      <c r="J113" s="73">
        <f t="shared" ca="1" si="4"/>
        <v>0</v>
      </c>
      <c r="K113" s="74">
        <f t="shared" ca="1" si="5"/>
        <v>0</v>
      </c>
      <c r="L113" s="79">
        <f t="shared" ca="1" si="6"/>
        <v>228</v>
      </c>
      <c r="M113" s="63">
        <f t="shared" si="11"/>
        <v>0</v>
      </c>
      <c r="N113" s="40">
        <f ca="1">AVERAGE(M113:OFFSET(M113,-(O$5-1),0))</f>
        <v>0.26666666666666666</v>
      </c>
      <c r="O113" s="64">
        <f t="shared" ca="1" si="7"/>
        <v>0</v>
      </c>
      <c r="P113" s="68">
        <f ca="1">AVERAGE(E113:OFFSET(E113,-(Q$5-1),0))</f>
        <v>5182.5</v>
      </c>
      <c r="Q113" s="41">
        <f ca="1">AVERAGE(E113:OFFSET(E113,-(Q$6-1),0))</f>
        <v>5520.05</v>
      </c>
      <c r="R113" s="64">
        <f t="shared" ca="1" si="8"/>
        <v>0</v>
      </c>
    </row>
    <row r="114" spans="1:18" x14ac:dyDescent="0.25">
      <c r="A114" s="47">
        <v>20081020</v>
      </c>
      <c r="B114" s="48">
        <v>4804</v>
      </c>
      <c r="C114" s="48">
        <v>4836</v>
      </c>
      <c r="D114" s="48">
        <v>4636</v>
      </c>
      <c r="E114" s="48">
        <v>4823</v>
      </c>
      <c r="F114" s="49">
        <v>85947</v>
      </c>
      <c r="G114" s="58">
        <f t="shared" si="10"/>
        <v>0</v>
      </c>
      <c r="H114" s="58">
        <f t="shared" si="9"/>
        <v>19</v>
      </c>
      <c r="I114" s="71">
        <f t="shared" ca="1" si="3"/>
        <v>0</v>
      </c>
      <c r="J114" s="73">
        <f t="shared" ca="1" si="4"/>
        <v>0</v>
      </c>
      <c r="K114" s="74">
        <f t="shared" ca="1" si="5"/>
        <v>0</v>
      </c>
      <c r="L114" s="79">
        <f t="shared" ca="1" si="6"/>
        <v>228</v>
      </c>
      <c r="M114" s="63">
        <f t="shared" si="11"/>
        <v>1</v>
      </c>
      <c r="N114" s="40">
        <f ca="1">AVERAGE(M114:OFFSET(M114,-(O$5-1),0))</f>
        <v>0.33333333333333331</v>
      </c>
      <c r="O114" s="64">
        <f t="shared" ca="1" si="7"/>
        <v>0</v>
      </c>
      <c r="P114" s="68">
        <f ca="1">AVERAGE(E114:OFFSET(E114,-(Q$5-1),0))</f>
        <v>5100.3</v>
      </c>
      <c r="Q114" s="41">
        <f ca="1">AVERAGE(E114:OFFSET(E114,-(Q$6-1),0))</f>
        <v>5485.1</v>
      </c>
      <c r="R114" s="64">
        <f t="shared" ca="1" si="8"/>
        <v>0</v>
      </c>
    </row>
    <row r="115" spans="1:18" x14ac:dyDescent="0.25">
      <c r="A115" s="47">
        <v>20081021</v>
      </c>
      <c r="B115" s="48">
        <v>4930</v>
      </c>
      <c r="C115" s="48">
        <v>4950</v>
      </c>
      <c r="D115" s="48">
        <v>4735</v>
      </c>
      <c r="E115" s="48">
        <v>4817</v>
      </c>
      <c r="F115" s="49">
        <v>117258</v>
      </c>
      <c r="G115" s="58">
        <f t="shared" si="10"/>
        <v>107</v>
      </c>
      <c r="H115" s="58">
        <f t="shared" si="9"/>
        <v>-113</v>
      </c>
      <c r="I115" s="71">
        <f t="shared" ca="1" si="3"/>
        <v>0</v>
      </c>
      <c r="J115" s="73">
        <f t="shared" ca="1" si="4"/>
        <v>0</v>
      </c>
      <c r="K115" s="74">
        <f t="shared" ca="1" si="5"/>
        <v>0</v>
      </c>
      <c r="L115" s="79">
        <f t="shared" ca="1" si="6"/>
        <v>228</v>
      </c>
      <c r="M115" s="63">
        <f t="shared" si="11"/>
        <v>0</v>
      </c>
      <c r="N115" s="40">
        <f ca="1">AVERAGE(M115:OFFSET(M115,-(O$5-1),0))</f>
        <v>0.33333333333333331</v>
      </c>
      <c r="O115" s="64">
        <f t="shared" ca="1" si="7"/>
        <v>0</v>
      </c>
      <c r="P115" s="68">
        <f ca="1">AVERAGE(E115:OFFSET(E115,-(Q$5-1),0))</f>
        <v>5043.3</v>
      </c>
      <c r="Q115" s="41">
        <f ca="1">AVERAGE(E115:OFFSET(E115,-(Q$6-1),0))</f>
        <v>5430.55</v>
      </c>
      <c r="R115" s="64">
        <f t="shared" ca="1" si="8"/>
        <v>0</v>
      </c>
    </row>
    <row r="116" spans="1:18" x14ac:dyDescent="0.25">
      <c r="A116" s="47">
        <v>20081022</v>
      </c>
      <c r="B116" s="48">
        <v>4738</v>
      </c>
      <c r="C116" s="48">
        <v>4855</v>
      </c>
      <c r="D116" s="48">
        <v>4650</v>
      </c>
      <c r="E116" s="48">
        <v>4656</v>
      </c>
      <c r="F116" s="49">
        <v>113984</v>
      </c>
      <c r="G116" s="58">
        <f t="shared" si="10"/>
        <v>-79</v>
      </c>
      <c r="H116" s="58">
        <f t="shared" si="9"/>
        <v>-82</v>
      </c>
      <c r="I116" s="71">
        <f t="shared" ca="1" si="3"/>
        <v>0</v>
      </c>
      <c r="J116" s="73">
        <f t="shared" ca="1" si="4"/>
        <v>0</v>
      </c>
      <c r="K116" s="74">
        <f t="shared" ca="1" si="5"/>
        <v>0</v>
      </c>
      <c r="L116" s="79">
        <f t="shared" ca="1" si="6"/>
        <v>228</v>
      </c>
      <c r="M116" s="63">
        <f t="shared" si="11"/>
        <v>0</v>
      </c>
      <c r="N116" s="40">
        <f ca="1">AVERAGE(M116:OFFSET(M116,-(O$5-1),0))</f>
        <v>0.33333333333333331</v>
      </c>
      <c r="O116" s="64">
        <f t="shared" ca="1" si="7"/>
        <v>0</v>
      </c>
      <c r="P116" s="68">
        <f ca="1">AVERAGE(E116:OFFSET(E116,-(Q$5-1),0))</f>
        <v>4964.3999999999996</v>
      </c>
      <c r="Q116" s="41">
        <f ca="1">AVERAGE(E116:OFFSET(E116,-(Q$6-1),0))</f>
        <v>5358.9</v>
      </c>
      <c r="R116" s="64">
        <f t="shared" ca="1" si="8"/>
        <v>0</v>
      </c>
    </row>
    <row r="117" spans="1:18" x14ac:dyDescent="0.25">
      <c r="A117" s="47">
        <v>20081023</v>
      </c>
      <c r="B117" s="48">
        <v>4494</v>
      </c>
      <c r="C117" s="48">
        <v>4528</v>
      </c>
      <c r="D117" s="48">
        <v>4494</v>
      </c>
      <c r="E117" s="48">
        <v>4494</v>
      </c>
      <c r="F117" s="49">
        <v>28439</v>
      </c>
      <c r="G117" s="58">
        <f t="shared" si="10"/>
        <v>-162</v>
      </c>
      <c r="H117" s="58">
        <f t="shared" si="9"/>
        <v>0</v>
      </c>
      <c r="I117" s="71">
        <f t="shared" ref="I117:I180" ca="1" si="12">IF(OR(O117=1,R117=1),1,IF(OR(O117=-1,R117=-1),-1,0))</f>
        <v>0</v>
      </c>
      <c r="J117" s="73">
        <f t="shared" ref="J117:J180" ca="1" si="13">IF((J116+I116)&gt;=J$5, J$5, IF((J116+I116)&lt;=J$7, J$7, J116+I116))</f>
        <v>0</v>
      </c>
      <c r="K117" s="74">
        <f t="shared" ca="1" si="5"/>
        <v>0</v>
      </c>
      <c r="L117" s="79">
        <f t="shared" ca="1" si="6"/>
        <v>228</v>
      </c>
      <c r="M117" s="63">
        <f t="shared" si="11"/>
        <v>0</v>
      </c>
      <c r="N117" s="40">
        <f ca="1">AVERAGE(M117:OFFSET(M117,-(O$5-1),0))</f>
        <v>0.26666666666666666</v>
      </c>
      <c r="O117" s="64">
        <f t="shared" ca="1" si="7"/>
        <v>0</v>
      </c>
      <c r="P117" s="68">
        <f ca="1">AVERAGE(E117:OFFSET(E117,-(Q$5-1),0))</f>
        <v>4902.6000000000004</v>
      </c>
      <c r="Q117" s="41">
        <f ca="1">AVERAGE(E117:OFFSET(E117,-(Q$6-1),0))</f>
        <v>5276.85</v>
      </c>
      <c r="R117" s="64">
        <f t="shared" ca="1" si="8"/>
        <v>0</v>
      </c>
    </row>
    <row r="118" spans="1:18" x14ac:dyDescent="0.25">
      <c r="A118" s="47">
        <v>20081024</v>
      </c>
      <c r="B118" s="48">
        <v>4395</v>
      </c>
      <c r="C118" s="48">
        <v>4439</v>
      </c>
      <c r="D118" s="48">
        <v>4337</v>
      </c>
      <c r="E118" s="48">
        <v>4337</v>
      </c>
      <c r="F118" s="49">
        <v>31754</v>
      </c>
      <c r="G118" s="58">
        <f t="shared" si="10"/>
        <v>-99</v>
      </c>
      <c r="H118" s="58">
        <f t="shared" si="9"/>
        <v>-58</v>
      </c>
      <c r="I118" s="71">
        <f t="shared" ca="1" si="12"/>
        <v>0</v>
      </c>
      <c r="J118" s="73">
        <f t="shared" ca="1" si="13"/>
        <v>0</v>
      </c>
      <c r="K118" s="74">
        <f t="shared" ref="K118:K181" ca="1" si="14">J117*G118+J118*H118</f>
        <v>0</v>
      </c>
      <c r="L118" s="79">
        <f t="shared" ref="L118:L181" ca="1" si="15">L117+K118</f>
        <v>228</v>
      </c>
      <c r="M118" s="63">
        <f t="shared" si="11"/>
        <v>0</v>
      </c>
      <c r="N118" s="40">
        <f ca="1">AVERAGE(M118:OFFSET(M118,-(O$5-1),0))</f>
        <v>0.26666666666666666</v>
      </c>
      <c r="O118" s="64">
        <f t="shared" ref="O118:O181" ca="1" si="16">IF(N118&lt;=O$6, 1, IF(N118&gt;=O$7,-1, 0))</f>
        <v>0</v>
      </c>
      <c r="P118" s="68">
        <f ca="1">AVERAGE(E118:OFFSET(E118,-(Q$5-1),0))</f>
        <v>4830.1000000000004</v>
      </c>
      <c r="Q118" s="41">
        <f ca="1">AVERAGE(E118:OFFSET(E118,-(Q$6-1),0))</f>
        <v>5185.95</v>
      </c>
      <c r="R118" s="64">
        <f t="shared" ref="R118:R181" ca="1" si="17">IF(AND(P117&lt;=Q117,P118&gt;Q118),1,IF(AND(P117&gt;=Q117,P118&lt;Q118),-1,0))</f>
        <v>0</v>
      </c>
    </row>
    <row r="119" spans="1:18" x14ac:dyDescent="0.25">
      <c r="A119" s="47">
        <v>20081027</v>
      </c>
      <c r="B119" s="48">
        <v>4126</v>
      </c>
      <c r="C119" s="48">
        <v>4226</v>
      </c>
      <c r="D119" s="48">
        <v>4034</v>
      </c>
      <c r="E119" s="48">
        <v>4034</v>
      </c>
      <c r="F119" s="49">
        <v>88702</v>
      </c>
      <c r="G119" s="58">
        <f t="shared" si="10"/>
        <v>-211</v>
      </c>
      <c r="H119" s="58">
        <f t="shared" si="9"/>
        <v>-92</v>
      </c>
      <c r="I119" s="71">
        <f t="shared" ca="1" si="12"/>
        <v>1</v>
      </c>
      <c r="J119" s="73">
        <f t="shared" ca="1" si="13"/>
        <v>0</v>
      </c>
      <c r="K119" s="74">
        <f t="shared" ca="1" si="14"/>
        <v>0</v>
      </c>
      <c r="L119" s="79">
        <f t="shared" ca="1" si="15"/>
        <v>228</v>
      </c>
      <c r="M119" s="63">
        <f t="shared" si="11"/>
        <v>0</v>
      </c>
      <c r="N119" s="40">
        <f ca="1">AVERAGE(M119:OFFSET(M119,-(O$5-1),0))</f>
        <v>0.2</v>
      </c>
      <c r="O119" s="64">
        <f t="shared" ca="1" si="16"/>
        <v>1</v>
      </c>
      <c r="P119" s="68">
        <f ca="1">AVERAGE(E119:OFFSET(E119,-(Q$5-1),0))</f>
        <v>4739</v>
      </c>
      <c r="Q119" s="41">
        <f ca="1">AVERAGE(E119:OFFSET(E119,-(Q$6-1),0))</f>
        <v>5084.75</v>
      </c>
      <c r="R119" s="64">
        <f t="shared" ca="1" si="17"/>
        <v>0</v>
      </c>
    </row>
    <row r="120" spans="1:18" x14ac:dyDescent="0.25">
      <c r="A120" s="47">
        <v>20081028</v>
      </c>
      <c r="B120" s="48">
        <v>3921</v>
      </c>
      <c r="C120" s="48">
        <v>4316</v>
      </c>
      <c r="D120" s="48">
        <v>3811</v>
      </c>
      <c r="E120" s="48">
        <v>4316</v>
      </c>
      <c r="F120" s="49">
        <v>161939</v>
      </c>
      <c r="G120" s="58">
        <f t="shared" si="10"/>
        <v>-113</v>
      </c>
      <c r="H120" s="58">
        <f t="shared" si="9"/>
        <v>395</v>
      </c>
      <c r="I120" s="71">
        <f t="shared" ca="1" si="12"/>
        <v>0</v>
      </c>
      <c r="J120" s="73">
        <f t="shared" ca="1" si="13"/>
        <v>1</v>
      </c>
      <c r="K120" s="74">
        <f t="shared" ca="1" si="14"/>
        <v>395</v>
      </c>
      <c r="L120" s="79">
        <f t="shared" ca="1" si="15"/>
        <v>623</v>
      </c>
      <c r="M120" s="63">
        <f t="shared" si="11"/>
        <v>1</v>
      </c>
      <c r="N120" s="40">
        <f ca="1">AVERAGE(M120:OFFSET(M120,-(O$5-1),0))</f>
        <v>0.26666666666666666</v>
      </c>
      <c r="O120" s="64">
        <f t="shared" ca="1" si="16"/>
        <v>0</v>
      </c>
      <c r="P120" s="68">
        <f ca="1">AVERAGE(E120:OFFSET(E120,-(Q$5-1),0))</f>
        <v>4641.8999999999996</v>
      </c>
      <c r="Q120" s="41">
        <f ca="1">AVERAGE(E120:OFFSET(E120,-(Q$6-1),0))</f>
        <v>5007.25</v>
      </c>
      <c r="R120" s="64">
        <f t="shared" ca="1" si="17"/>
        <v>0</v>
      </c>
    </row>
    <row r="121" spans="1:18" x14ac:dyDescent="0.25">
      <c r="A121" s="47">
        <v>20081029</v>
      </c>
      <c r="B121" s="48">
        <v>4618</v>
      </c>
      <c r="C121" s="48">
        <v>4618</v>
      </c>
      <c r="D121" s="48">
        <v>4212</v>
      </c>
      <c r="E121" s="48">
        <v>4288</v>
      </c>
      <c r="F121" s="49">
        <v>170104</v>
      </c>
      <c r="G121" s="58">
        <f t="shared" si="10"/>
        <v>302</v>
      </c>
      <c r="H121" s="58">
        <f t="shared" si="9"/>
        <v>-330</v>
      </c>
      <c r="I121" s="71">
        <f t="shared" ca="1" si="12"/>
        <v>1</v>
      </c>
      <c r="J121" s="73">
        <f t="shared" ca="1" si="13"/>
        <v>1</v>
      </c>
      <c r="K121" s="74">
        <f t="shared" ca="1" si="14"/>
        <v>-28</v>
      </c>
      <c r="L121" s="79">
        <f t="shared" ca="1" si="15"/>
        <v>595</v>
      </c>
      <c r="M121" s="63">
        <f t="shared" si="11"/>
        <v>0</v>
      </c>
      <c r="N121" s="40">
        <f ca="1">AVERAGE(M121:OFFSET(M121,-(O$5-1),0))</f>
        <v>0.2</v>
      </c>
      <c r="O121" s="64">
        <f t="shared" ca="1" si="16"/>
        <v>1</v>
      </c>
      <c r="P121" s="68">
        <f ca="1">AVERAGE(E121:OFFSET(E121,-(Q$5-1),0))</f>
        <v>4554.7</v>
      </c>
      <c r="Q121" s="41">
        <f ca="1">AVERAGE(E121:OFFSET(E121,-(Q$6-1),0))</f>
        <v>4944.2</v>
      </c>
      <c r="R121" s="64">
        <f t="shared" ca="1" si="17"/>
        <v>0</v>
      </c>
    </row>
    <row r="122" spans="1:18" x14ac:dyDescent="0.25">
      <c r="A122" s="47">
        <v>20081030</v>
      </c>
      <c r="B122" s="48">
        <v>4376</v>
      </c>
      <c r="C122" s="48">
        <v>4594</v>
      </c>
      <c r="D122" s="48">
        <v>4361</v>
      </c>
      <c r="E122" s="48">
        <v>4594</v>
      </c>
      <c r="F122" s="49">
        <v>71639</v>
      </c>
      <c r="G122" s="58">
        <f t="shared" si="10"/>
        <v>88</v>
      </c>
      <c r="H122" s="58">
        <f t="shared" si="9"/>
        <v>218</v>
      </c>
      <c r="I122" s="71">
        <f t="shared" ca="1" si="12"/>
        <v>0</v>
      </c>
      <c r="J122" s="73">
        <f t="shared" ca="1" si="13"/>
        <v>2</v>
      </c>
      <c r="K122" s="74">
        <f t="shared" ca="1" si="14"/>
        <v>524</v>
      </c>
      <c r="L122" s="79">
        <f t="shared" ca="1" si="15"/>
        <v>1119</v>
      </c>
      <c r="M122" s="63">
        <f t="shared" si="11"/>
        <v>1</v>
      </c>
      <c r="N122" s="40">
        <f ca="1">AVERAGE(M122:OFFSET(M122,-(O$5-1),0))</f>
        <v>0.26666666666666666</v>
      </c>
      <c r="O122" s="64">
        <f t="shared" ca="1" si="16"/>
        <v>0</v>
      </c>
      <c r="P122" s="68">
        <f ca="1">AVERAGE(E122:OFFSET(E122,-(Q$5-1),0))</f>
        <v>4516.3</v>
      </c>
      <c r="Q122" s="41">
        <f ca="1">AVERAGE(E122:OFFSET(E122,-(Q$6-1),0))</f>
        <v>4890.1000000000004</v>
      </c>
      <c r="R122" s="64">
        <f t="shared" ca="1" si="17"/>
        <v>0</v>
      </c>
    </row>
    <row r="123" spans="1:18" x14ac:dyDescent="0.25">
      <c r="A123" s="47">
        <v>20081031</v>
      </c>
      <c r="B123" s="48">
        <v>4594</v>
      </c>
      <c r="C123" s="48">
        <v>4910</v>
      </c>
      <c r="D123" s="48">
        <v>4530</v>
      </c>
      <c r="E123" s="48">
        <v>4844</v>
      </c>
      <c r="F123" s="49">
        <v>171585</v>
      </c>
      <c r="G123" s="58">
        <f t="shared" si="10"/>
        <v>0</v>
      </c>
      <c r="H123" s="58">
        <f t="shared" si="9"/>
        <v>250</v>
      </c>
      <c r="I123" s="71">
        <f t="shared" ca="1" si="12"/>
        <v>0</v>
      </c>
      <c r="J123" s="73">
        <f t="shared" ca="1" si="13"/>
        <v>2</v>
      </c>
      <c r="K123" s="74">
        <f t="shared" ca="1" si="14"/>
        <v>500</v>
      </c>
      <c r="L123" s="79">
        <f t="shared" ca="1" si="15"/>
        <v>1619</v>
      </c>
      <c r="M123" s="63">
        <f t="shared" si="11"/>
        <v>1</v>
      </c>
      <c r="N123" s="40">
        <f ca="1">AVERAGE(M123:OFFSET(M123,-(O$5-1),0))</f>
        <v>0.33333333333333331</v>
      </c>
      <c r="O123" s="64">
        <f t="shared" ca="1" si="16"/>
        <v>0</v>
      </c>
      <c r="P123" s="68">
        <f ca="1">AVERAGE(E123:OFFSET(E123,-(Q$5-1),0))</f>
        <v>4520.3</v>
      </c>
      <c r="Q123" s="41">
        <f ca="1">AVERAGE(E123:OFFSET(E123,-(Q$6-1),0))</f>
        <v>4851.3999999999996</v>
      </c>
      <c r="R123" s="64">
        <f t="shared" ca="1" si="17"/>
        <v>0</v>
      </c>
    </row>
    <row r="124" spans="1:18" x14ac:dyDescent="0.25">
      <c r="A124" s="47">
        <v>20081103</v>
      </c>
      <c r="B124" s="48">
        <v>4910</v>
      </c>
      <c r="C124" s="48">
        <v>4994</v>
      </c>
      <c r="D124" s="48">
        <v>4784</v>
      </c>
      <c r="E124" s="48">
        <v>4992</v>
      </c>
      <c r="F124" s="49">
        <v>146385</v>
      </c>
      <c r="G124" s="58">
        <f t="shared" si="10"/>
        <v>66</v>
      </c>
      <c r="H124" s="58">
        <f t="shared" si="9"/>
        <v>82</v>
      </c>
      <c r="I124" s="71">
        <f t="shared" ca="1" si="12"/>
        <v>0</v>
      </c>
      <c r="J124" s="73">
        <f t="shared" ca="1" si="13"/>
        <v>2</v>
      </c>
      <c r="K124" s="74">
        <f t="shared" ca="1" si="14"/>
        <v>296</v>
      </c>
      <c r="L124" s="79">
        <f t="shared" ca="1" si="15"/>
        <v>1915</v>
      </c>
      <c r="M124" s="63">
        <f t="shared" si="11"/>
        <v>1</v>
      </c>
      <c r="N124" s="40">
        <f ca="1">AVERAGE(M124:OFFSET(M124,-(O$5-1),0))</f>
        <v>0.4</v>
      </c>
      <c r="O124" s="64">
        <f t="shared" ca="1" si="16"/>
        <v>0</v>
      </c>
      <c r="P124" s="68">
        <f ca="1">AVERAGE(E124:OFFSET(E124,-(Q$5-1),0))</f>
        <v>4537.2</v>
      </c>
      <c r="Q124" s="41">
        <f ca="1">AVERAGE(E124:OFFSET(E124,-(Q$6-1),0))</f>
        <v>4818.75</v>
      </c>
      <c r="R124" s="64">
        <f t="shared" ca="1" si="17"/>
        <v>0</v>
      </c>
    </row>
    <row r="125" spans="1:18" x14ac:dyDescent="0.25">
      <c r="A125" s="47">
        <v>20081104</v>
      </c>
      <c r="B125" s="48">
        <v>4965</v>
      </c>
      <c r="C125" s="48">
        <v>5007</v>
      </c>
      <c r="D125" s="48">
        <v>4836</v>
      </c>
      <c r="E125" s="48">
        <v>4978</v>
      </c>
      <c r="F125" s="49">
        <v>130800</v>
      </c>
      <c r="G125" s="58">
        <f t="shared" si="10"/>
        <v>-27</v>
      </c>
      <c r="H125" s="58">
        <f t="shared" si="9"/>
        <v>13</v>
      </c>
      <c r="I125" s="71">
        <f t="shared" ca="1" si="12"/>
        <v>0</v>
      </c>
      <c r="J125" s="73">
        <f t="shared" ca="1" si="13"/>
        <v>2</v>
      </c>
      <c r="K125" s="74">
        <f t="shared" ca="1" si="14"/>
        <v>-28</v>
      </c>
      <c r="L125" s="79">
        <f t="shared" ca="1" si="15"/>
        <v>1887</v>
      </c>
      <c r="M125" s="63">
        <f t="shared" si="11"/>
        <v>0</v>
      </c>
      <c r="N125" s="40">
        <f ca="1">AVERAGE(M125:OFFSET(M125,-(O$5-1),0))</f>
        <v>0.33333333333333331</v>
      </c>
      <c r="O125" s="64">
        <f t="shared" ca="1" si="16"/>
        <v>0</v>
      </c>
      <c r="P125" s="68">
        <f ca="1">AVERAGE(E125:OFFSET(E125,-(Q$5-1),0))</f>
        <v>4553.3</v>
      </c>
      <c r="Q125" s="41">
        <f ca="1">AVERAGE(E125:OFFSET(E125,-(Q$6-1),0))</f>
        <v>4798.3</v>
      </c>
      <c r="R125" s="64">
        <f t="shared" ca="1" si="17"/>
        <v>0</v>
      </c>
    </row>
    <row r="126" spans="1:18" x14ac:dyDescent="0.25">
      <c r="A126" s="47">
        <v>20081105</v>
      </c>
      <c r="B126" s="48">
        <v>5080</v>
      </c>
      <c r="C126" s="48">
        <v>5100</v>
      </c>
      <c r="D126" s="48">
        <v>4893</v>
      </c>
      <c r="E126" s="48">
        <v>4900</v>
      </c>
      <c r="F126" s="49">
        <v>134168</v>
      </c>
      <c r="G126" s="58">
        <f t="shared" si="10"/>
        <v>102</v>
      </c>
      <c r="H126" s="58">
        <f t="shared" si="9"/>
        <v>-180</v>
      </c>
      <c r="I126" s="71">
        <f t="shared" ca="1" si="12"/>
        <v>0</v>
      </c>
      <c r="J126" s="73">
        <f t="shared" ca="1" si="13"/>
        <v>2</v>
      </c>
      <c r="K126" s="74">
        <f t="shared" ca="1" si="14"/>
        <v>-156</v>
      </c>
      <c r="L126" s="79">
        <f t="shared" ca="1" si="15"/>
        <v>1731</v>
      </c>
      <c r="M126" s="63">
        <f t="shared" si="11"/>
        <v>0</v>
      </c>
      <c r="N126" s="40">
        <f ca="1">AVERAGE(M126:OFFSET(M126,-(O$5-1),0))</f>
        <v>0.33333333333333331</v>
      </c>
      <c r="O126" s="64">
        <f t="shared" ca="1" si="16"/>
        <v>0</v>
      </c>
      <c r="P126" s="68">
        <f ca="1">AVERAGE(E126:OFFSET(E126,-(Q$5-1),0))</f>
        <v>4577.7</v>
      </c>
      <c r="Q126" s="41">
        <f ca="1">AVERAGE(E126:OFFSET(E126,-(Q$6-1),0))</f>
        <v>4771.05</v>
      </c>
      <c r="R126" s="64">
        <f t="shared" ca="1" si="17"/>
        <v>0</v>
      </c>
    </row>
    <row r="127" spans="1:18" x14ac:dyDescent="0.25">
      <c r="A127" s="47">
        <v>20081106</v>
      </c>
      <c r="B127" s="48">
        <v>4680</v>
      </c>
      <c r="C127" s="48">
        <v>4700</v>
      </c>
      <c r="D127" s="48">
        <v>4557</v>
      </c>
      <c r="E127" s="48">
        <v>4557</v>
      </c>
      <c r="F127" s="49">
        <v>61042</v>
      </c>
      <c r="G127" s="58">
        <f t="shared" si="10"/>
        <v>-220</v>
      </c>
      <c r="H127" s="58">
        <f t="shared" si="9"/>
        <v>-123</v>
      </c>
      <c r="I127" s="71">
        <f t="shared" ca="1" si="12"/>
        <v>0</v>
      </c>
      <c r="J127" s="73">
        <f t="shared" ca="1" si="13"/>
        <v>2</v>
      </c>
      <c r="K127" s="74">
        <f t="shared" ca="1" si="14"/>
        <v>-686</v>
      </c>
      <c r="L127" s="79">
        <f t="shared" ca="1" si="15"/>
        <v>1045</v>
      </c>
      <c r="M127" s="63">
        <f t="shared" si="11"/>
        <v>0</v>
      </c>
      <c r="N127" s="40">
        <f ca="1">AVERAGE(M127:OFFSET(M127,-(O$5-1),0))</f>
        <v>0.33333333333333331</v>
      </c>
      <c r="O127" s="64">
        <f t="shared" ca="1" si="16"/>
        <v>0</v>
      </c>
      <c r="P127" s="68">
        <f ca="1">AVERAGE(E127:OFFSET(E127,-(Q$5-1),0))</f>
        <v>4584</v>
      </c>
      <c r="Q127" s="41">
        <f ca="1">AVERAGE(E127:OFFSET(E127,-(Q$6-1),0))</f>
        <v>4743.3</v>
      </c>
      <c r="R127" s="64">
        <f t="shared" ca="1" si="17"/>
        <v>0</v>
      </c>
    </row>
    <row r="128" spans="1:18" x14ac:dyDescent="0.25">
      <c r="A128" s="47">
        <v>20081107</v>
      </c>
      <c r="B128" s="48">
        <v>4310</v>
      </c>
      <c r="C128" s="48">
        <v>4662</v>
      </c>
      <c r="D128" s="48">
        <v>4272</v>
      </c>
      <c r="E128" s="48">
        <v>4633</v>
      </c>
      <c r="F128" s="49">
        <v>167885</v>
      </c>
      <c r="G128" s="58">
        <f t="shared" si="10"/>
        <v>-247</v>
      </c>
      <c r="H128" s="58">
        <f t="shared" si="9"/>
        <v>323</v>
      </c>
      <c r="I128" s="71">
        <f t="shared" ca="1" si="12"/>
        <v>0</v>
      </c>
      <c r="J128" s="73">
        <f t="shared" ca="1" si="13"/>
        <v>2</v>
      </c>
      <c r="K128" s="74">
        <f t="shared" ca="1" si="14"/>
        <v>152</v>
      </c>
      <c r="L128" s="79">
        <f t="shared" ca="1" si="15"/>
        <v>1197</v>
      </c>
      <c r="M128" s="63">
        <f t="shared" si="11"/>
        <v>1</v>
      </c>
      <c r="N128" s="40">
        <f ca="1">AVERAGE(M128:OFFSET(M128,-(O$5-1),0))</f>
        <v>0.4</v>
      </c>
      <c r="O128" s="64">
        <f t="shared" ca="1" si="16"/>
        <v>0</v>
      </c>
      <c r="P128" s="68">
        <f ca="1">AVERAGE(E128:OFFSET(E128,-(Q$5-1),0))</f>
        <v>4613.6000000000004</v>
      </c>
      <c r="Q128" s="41">
        <f ca="1">AVERAGE(E128:OFFSET(E128,-(Q$6-1),0))</f>
        <v>4721.8500000000004</v>
      </c>
      <c r="R128" s="64">
        <f t="shared" ca="1" si="17"/>
        <v>0</v>
      </c>
    </row>
    <row r="129" spans="1:18" x14ac:dyDescent="0.25">
      <c r="A129" s="47">
        <v>20081110</v>
      </c>
      <c r="B129" s="48">
        <v>4658</v>
      </c>
      <c r="C129" s="48">
        <v>4692</v>
      </c>
      <c r="D129" s="48">
        <v>4551</v>
      </c>
      <c r="E129" s="48">
        <v>4632</v>
      </c>
      <c r="F129" s="49">
        <v>118290</v>
      </c>
      <c r="G129" s="58">
        <f t="shared" si="10"/>
        <v>25</v>
      </c>
      <c r="H129" s="58">
        <f t="shared" si="9"/>
        <v>-26</v>
      </c>
      <c r="I129" s="71">
        <f t="shared" ca="1" si="12"/>
        <v>0</v>
      </c>
      <c r="J129" s="73">
        <f t="shared" ca="1" si="13"/>
        <v>2</v>
      </c>
      <c r="K129" s="74">
        <f t="shared" ca="1" si="14"/>
        <v>-2</v>
      </c>
      <c r="L129" s="79">
        <f t="shared" ca="1" si="15"/>
        <v>1195</v>
      </c>
      <c r="M129" s="63">
        <f t="shared" si="11"/>
        <v>0</v>
      </c>
      <c r="N129" s="40">
        <f ca="1">AVERAGE(M129:OFFSET(M129,-(O$5-1),0))</f>
        <v>0.33333333333333331</v>
      </c>
      <c r="O129" s="64">
        <f t="shared" ca="1" si="16"/>
        <v>0</v>
      </c>
      <c r="P129" s="68">
        <f ca="1">AVERAGE(E129:OFFSET(E129,-(Q$5-1),0))</f>
        <v>4673.3999999999996</v>
      </c>
      <c r="Q129" s="41">
        <f ca="1">AVERAGE(E129:OFFSET(E129,-(Q$6-1),0))</f>
        <v>4706.2</v>
      </c>
      <c r="R129" s="64">
        <f t="shared" ca="1" si="17"/>
        <v>0</v>
      </c>
    </row>
    <row r="130" spans="1:18" x14ac:dyDescent="0.25">
      <c r="A130" s="47">
        <v>20081111</v>
      </c>
      <c r="B130" s="48">
        <v>4477</v>
      </c>
      <c r="C130" s="48">
        <v>4645</v>
      </c>
      <c r="D130" s="48">
        <v>4465</v>
      </c>
      <c r="E130" s="48">
        <v>4474</v>
      </c>
      <c r="F130" s="49">
        <v>120642</v>
      </c>
      <c r="G130" s="58">
        <f t="shared" si="10"/>
        <v>-155</v>
      </c>
      <c r="H130" s="58">
        <f t="shared" si="9"/>
        <v>-3</v>
      </c>
      <c r="I130" s="71">
        <f t="shared" ca="1" si="12"/>
        <v>1</v>
      </c>
      <c r="J130" s="73">
        <f t="shared" ca="1" si="13"/>
        <v>2</v>
      </c>
      <c r="K130" s="74">
        <f t="shared" ca="1" si="14"/>
        <v>-316</v>
      </c>
      <c r="L130" s="79">
        <f t="shared" ca="1" si="15"/>
        <v>879</v>
      </c>
      <c r="M130" s="63">
        <f t="shared" si="11"/>
        <v>0</v>
      </c>
      <c r="N130" s="40">
        <f ca="1">AVERAGE(M130:OFFSET(M130,-(O$5-1),0))</f>
        <v>0.33333333333333331</v>
      </c>
      <c r="O130" s="64">
        <f t="shared" ca="1" si="16"/>
        <v>0</v>
      </c>
      <c r="P130" s="68">
        <f ca="1">AVERAGE(E130:OFFSET(E130,-(Q$5-1),0))</f>
        <v>4689.2</v>
      </c>
      <c r="Q130" s="41">
        <f ca="1">AVERAGE(E130:OFFSET(E130,-(Q$6-1),0))</f>
        <v>4665.55</v>
      </c>
      <c r="R130" s="64">
        <f t="shared" ca="1" si="17"/>
        <v>1</v>
      </c>
    </row>
    <row r="131" spans="1:18" x14ac:dyDescent="0.25">
      <c r="A131" s="47">
        <v>20081112</v>
      </c>
      <c r="B131" s="48">
        <v>4488</v>
      </c>
      <c r="C131" s="48">
        <v>4596</v>
      </c>
      <c r="D131" s="48">
        <v>4420</v>
      </c>
      <c r="E131" s="48">
        <v>4521</v>
      </c>
      <c r="F131" s="49">
        <v>126301</v>
      </c>
      <c r="G131" s="58">
        <f t="shared" si="10"/>
        <v>14</v>
      </c>
      <c r="H131" s="58">
        <f t="shared" si="9"/>
        <v>33</v>
      </c>
      <c r="I131" s="71">
        <f t="shared" ca="1" si="12"/>
        <v>0</v>
      </c>
      <c r="J131" s="73">
        <f t="shared" ca="1" si="13"/>
        <v>2</v>
      </c>
      <c r="K131" s="74">
        <f t="shared" ca="1" si="14"/>
        <v>94</v>
      </c>
      <c r="L131" s="79">
        <f t="shared" ca="1" si="15"/>
        <v>973</v>
      </c>
      <c r="M131" s="63">
        <f t="shared" si="11"/>
        <v>1</v>
      </c>
      <c r="N131" s="40">
        <f ca="1">AVERAGE(M131:OFFSET(M131,-(O$5-1),0))</f>
        <v>0.4</v>
      </c>
      <c r="O131" s="64">
        <f t="shared" ca="1" si="16"/>
        <v>0</v>
      </c>
      <c r="P131" s="68">
        <f ca="1">AVERAGE(E131:OFFSET(E131,-(Q$5-1),0))</f>
        <v>4712.5</v>
      </c>
      <c r="Q131" s="41">
        <f ca="1">AVERAGE(E131:OFFSET(E131,-(Q$6-1),0))</f>
        <v>4633.6000000000004</v>
      </c>
      <c r="R131" s="64">
        <f t="shared" ca="1" si="17"/>
        <v>0</v>
      </c>
    </row>
    <row r="132" spans="1:18" x14ac:dyDescent="0.25">
      <c r="A132" s="47">
        <v>20081113</v>
      </c>
      <c r="B132" s="48">
        <v>4305</v>
      </c>
      <c r="C132" s="48">
        <v>4331</v>
      </c>
      <c r="D132" s="48">
        <v>4206</v>
      </c>
      <c r="E132" s="48">
        <v>4285</v>
      </c>
      <c r="F132" s="49">
        <v>94643</v>
      </c>
      <c r="G132" s="58">
        <f t="shared" si="10"/>
        <v>-216</v>
      </c>
      <c r="H132" s="58">
        <f t="shared" ref="H132:H195" si="18">E132-B132</f>
        <v>-20</v>
      </c>
      <c r="I132" s="71">
        <f t="shared" ca="1" si="12"/>
        <v>0</v>
      </c>
      <c r="J132" s="73">
        <f t="shared" ca="1" si="13"/>
        <v>2</v>
      </c>
      <c r="K132" s="74">
        <f t="shared" ca="1" si="14"/>
        <v>-472</v>
      </c>
      <c r="L132" s="79">
        <f t="shared" ca="1" si="15"/>
        <v>501</v>
      </c>
      <c r="M132" s="63">
        <f t="shared" si="11"/>
        <v>0</v>
      </c>
      <c r="N132" s="40">
        <f ca="1">AVERAGE(M132:OFFSET(M132,-(O$5-1),0))</f>
        <v>0.4</v>
      </c>
      <c r="O132" s="64">
        <f t="shared" ca="1" si="16"/>
        <v>0</v>
      </c>
      <c r="P132" s="68">
        <f ca="1">AVERAGE(E132:OFFSET(E132,-(Q$5-1),0))</f>
        <v>4681.6000000000004</v>
      </c>
      <c r="Q132" s="41">
        <f ca="1">AVERAGE(E132:OFFSET(E132,-(Q$6-1),0))</f>
        <v>4598.95</v>
      </c>
      <c r="R132" s="64">
        <f t="shared" ca="1" si="17"/>
        <v>0</v>
      </c>
    </row>
    <row r="133" spans="1:18" x14ac:dyDescent="0.25">
      <c r="A133" s="47">
        <v>20081114</v>
      </c>
      <c r="B133" s="48">
        <v>4499</v>
      </c>
      <c r="C133" s="48">
        <v>4514</v>
      </c>
      <c r="D133" s="48">
        <v>4345</v>
      </c>
      <c r="E133" s="48">
        <v>4380</v>
      </c>
      <c r="F133" s="49">
        <v>113760</v>
      </c>
      <c r="G133" s="58">
        <f t="shared" ref="G133:G196" si="19">B133-E132</f>
        <v>214</v>
      </c>
      <c r="H133" s="58">
        <f t="shared" si="18"/>
        <v>-119</v>
      </c>
      <c r="I133" s="71">
        <f t="shared" ca="1" si="12"/>
        <v>0</v>
      </c>
      <c r="J133" s="73">
        <f t="shared" ca="1" si="13"/>
        <v>2</v>
      </c>
      <c r="K133" s="74">
        <f t="shared" ca="1" si="14"/>
        <v>190</v>
      </c>
      <c r="L133" s="79">
        <f t="shared" ca="1" si="15"/>
        <v>691</v>
      </c>
      <c r="M133" s="63">
        <f t="shared" ref="M133:M196" si="20">IF(E133&gt;E132,1,0)</f>
        <v>1</v>
      </c>
      <c r="N133" s="40">
        <f ca="1">AVERAGE(M133:OFFSET(M133,-(O$5-1),0))</f>
        <v>0.46666666666666667</v>
      </c>
      <c r="O133" s="64">
        <f t="shared" ca="1" si="16"/>
        <v>0</v>
      </c>
      <c r="P133" s="68">
        <f ca="1">AVERAGE(E133:OFFSET(E133,-(Q$5-1),0))</f>
        <v>4635.2</v>
      </c>
      <c r="Q133" s="41">
        <f ca="1">AVERAGE(E133:OFFSET(E133,-(Q$6-1),0))</f>
        <v>4577.75</v>
      </c>
      <c r="R133" s="64">
        <f t="shared" ca="1" si="17"/>
        <v>0</v>
      </c>
    </row>
    <row r="134" spans="1:18" x14ac:dyDescent="0.25">
      <c r="A134" s="47">
        <v>20081117</v>
      </c>
      <c r="B134" s="48">
        <v>4280</v>
      </c>
      <c r="C134" s="48">
        <v>4432</v>
      </c>
      <c r="D134" s="48">
        <v>4263</v>
      </c>
      <c r="E134" s="48">
        <v>4357</v>
      </c>
      <c r="F134" s="49">
        <v>103013</v>
      </c>
      <c r="G134" s="58">
        <f t="shared" si="19"/>
        <v>-100</v>
      </c>
      <c r="H134" s="58">
        <f t="shared" si="18"/>
        <v>77</v>
      </c>
      <c r="I134" s="71">
        <f t="shared" ca="1" si="12"/>
        <v>0</v>
      </c>
      <c r="J134" s="73">
        <f t="shared" ca="1" si="13"/>
        <v>2</v>
      </c>
      <c r="K134" s="74">
        <f t="shared" ca="1" si="14"/>
        <v>-46</v>
      </c>
      <c r="L134" s="79">
        <f t="shared" ca="1" si="15"/>
        <v>645</v>
      </c>
      <c r="M134" s="63">
        <f t="shared" si="20"/>
        <v>0</v>
      </c>
      <c r="N134" s="40">
        <f ca="1">AVERAGE(M134:OFFSET(M134,-(O$5-1),0))</f>
        <v>0.46666666666666667</v>
      </c>
      <c r="O134" s="64">
        <f t="shared" ca="1" si="16"/>
        <v>0</v>
      </c>
      <c r="P134" s="68">
        <f ca="1">AVERAGE(E134:OFFSET(E134,-(Q$5-1),0))</f>
        <v>4571.7</v>
      </c>
      <c r="Q134" s="41">
        <f ca="1">AVERAGE(E134:OFFSET(E134,-(Q$6-1),0))</f>
        <v>4554.45</v>
      </c>
      <c r="R134" s="64">
        <f t="shared" ca="1" si="17"/>
        <v>0</v>
      </c>
    </row>
    <row r="135" spans="1:18" x14ac:dyDescent="0.25">
      <c r="A135" s="47">
        <v>20081118</v>
      </c>
      <c r="B135" s="48">
        <v>4351</v>
      </c>
      <c r="C135" s="48">
        <v>4351</v>
      </c>
      <c r="D135" s="48">
        <v>4207</v>
      </c>
      <c r="E135" s="48">
        <v>4244</v>
      </c>
      <c r="F135" s="49">
        <v>97510</v>
      </c>
      <c r="G135" s="58">
        <f t="shared" si="19"/>
        <v>-6</v>
      </c>
      <c r="H135" s="58">
        <f t="shared" si="18"/>
        <v>-107</v>
      </c>
      <c r="I135" s="71">
        <f t="shared" ca="1" si="12"/>
        <v>-1</v>
      </c>
      <c r="J135" s="73">
        <f t="shared" ca="1" si="13"/>
        <v>2</v>
      </c>
      <c r="K135" s="74">
        <f t="shared" ca="1" si="14"/>
        <v>-226</v>
      </c>
      <c r="L135" s="79">
        <f t="shared" ca="1" si="15"/>
        <v>419</v>
      </c>
      <c r="M135" s="63">
        <f t="shared" si="20"/>
        <v>0</v>
      </c>
      <c r="N135" s="40">
        <f ca="1">AVERAGE(M135:OFFSET(M135,-(O$5-1),0))</f>
        <v>0.4</v>
      </c>
      <c r="O135" s="64">
        <f t="shared" ca="1" si="16"/>
        <v>0</v>
      </c>
      <c r="P135" s="68">
        <f ca="1">AVERAGE(E135:OFFSET(E135,-(Q$5-1),0))</f>
        <v>4498.3</v>
      </c>
      <c r="Q135" s="41">
        <f ca="1">AVERAGE(E135:OFFSET(E135,-(Q$6-1),0))</f>
        <v>4525.8</v>
      </c>
      <c r="R135" s="64">
        <f t="shared" ca="1" si="17"/>
        <v>-1</v>
      </c>
    </row>
    <row r="136" spans="1:18" x14ac:dyDescent="0.25">
      <c r="A136" s="47">
        <v>20081119</v>
      </c>
      <c r="B136" s="48">
        <v>4111</v>
      </c>
      <c r="C136" s="48">
        <v>4165</v>
      </c>
      <c r="D136" s="48">
        <v>4070</v>
      </c>
      <c r="E136" s="48">
        <v>4149</v>
      </c>
      <c r="F136" s="49">
        <v>47938</v>
      </c>
      <c r="G136" s="58">
        <f t="shared" si="19"/>
        <v>-133</v>
      </c>
      <c r="H136" s="58">
        <f t="shared" si="18"/>
        <v>38</v>
      </c>
      <c r="I136" s="71">
        <f t="shared" ca="1" si="12"/>
        <v>0</v>
      </c>
      <c r="J136" s="73">
        <f t="shared" ca="1" si="13"/>
        <v>1</v>
      </c>
      <c r="K136" s="74">
        <f t="shared" ca="1" si="14"/>
        <v>-228</v>
      </c>
      <c r="L136" s="79">
        <f t="shared" ca="1" si="15"/>
        <v>191</v>
      </c>
      <c r="M136" s="63">
        <f t="shared" si="20"/>
        <v>0</v>
      </c>
      <c r="N136" s="40">
        <f ca="1">AVERAGE(M136:OFFSET(M136,-(O$5-1),0))</f>
        <v>0.4</v>
      </c>
      <c r="O136" s="64">
        <f t="shared" ca="1" si="16"/>
        <v>0</v>
      </c>
      <c r="P136" s="68">
        <f ca="1">AVERAGE(E136:OFFSET(E136,-(Q$5-1),0))</f>
        <v>4423.2</v>
      </c>
      <c r="Q136" s="41">
        <f ca="1">AVERAGE(E136:OFFSET(E136,-(Q$6-1),0))</f>
        <v>4500.45</v>
      </c>
      <c r="R136" s="64">
        <f t="shared" ca="1" si="17"/>
        <v>0</v>
      </c>
    </row>
    <row r="137" spans="1:18" x14ac:dyDescent="0.25">
      <c r="A137" s="47">
        <v>20081120</v>
      </c>
      <c r="B137" s="48">
        <v>3953</v>
      </c>
      <c r="C137" s="48">
        <v>4027</v>
      </c>
      <c r="D137" s="48">
        <v>3866</v>
      </c>
      <c r="E137" s="48">
        <v>3903</v>
      </c>
      <c r="F137" s="49">
        <v>90469</v>
      </c>
      <c r="G137" s="58">
        <f t="shared" si="19"/>
        <v>-196</v>
      </c>
      <c r="H137" s="58">
        <f t="shared" si="18"/>
        <v>-50</v>
      </c>
      <c r="I137" s="71">
        <f t="shared" ca="1" si="12"/>
        <v>0</v>
      </c>
      <c r="J137" s="73">
        <f t="shared" ca="1" si="13"/>
        <v>1</v>
      </c>
      <c r="K137" s="74">
        <f t="shared" ca="1" si="14"/>
        <v>-246</v>
      </c>
      <c r="L137" s="79">
        <f t="shared" ca="1" si="15"/>
        <v>-55</v>
      </c>
      <c r="M137" s="63">
        <f t="shared" si="20"/>
        <v>0</v>
      </c>
      <c r="N137" s="40">
        <f ca="1">AVERAGE(M137:OFFSET(M137,-(O$5-1),0))</f>
        <v>0.33333333333333331</v>
      </c>
      <c r="O137" s="64">
        <f t="shared" ca="1" si="16"/>
        <v>0</v>
      </c>
      <c r="P137" s="68">
        <f ca="1">AVERAGE(E137:OFFSET(E137,-(Q$5-1),0))</f>
        <v>4357.8</v>
      </c>
      <c r="Q137" s="41">
        <f ca="1">AVERAGE(E137:OFFSET(E137,-(Q$6-1),0))</f>
        <v>4470.8999999999996</v>
      </c>
      <c r="R137" s="64">
        <f t="shared" ca="1" si="17"/>
        <v>0</v>
      </c>
    </row>
    <row r="138" spans="1:18" x14ac:dyDescent="0.25">
      <c r="A138" s="47">
        <v>20081121</v>
      </c>
      <c r="B138" s="48">
        <v>3880</v>
      </c>
      <c r="C138" s="48">
        <v>4129</v>
      </c>
      <c r="D138" s="48">
        <v>3815</v>
      </c>
      <c r="E138" s="48">
        <v>4121</v>
      </c>
      <c r="F138" s="49">
        <v>125163</v>
      </c>
      <c r="G138" s="58">
        <f t="shared" si="19"/>
        <v>-23</v>
      </c>
      <c r="H138" s="58">
        <f t="shared" si="18"/>
        <v>241</v>
      </c>
      <c r="I138" s="71">
        <f t="shared" ca="1" si="12"/>
        <v>0</v>
      </c>
      <c r="J138" s="73">
        <f t="shared" ca="1" si="13"/>
        <v>1</v>
      </c>
      <c r="K138" s="74">
        <f t="shared" ca="1" si="14"/>
        <v>218</v>
      </c>
      <c r="L138" s="79">
        <f t="shared" ca="1" si="15"/>
        <v>163</v>
      </c>
      <c r="M138" s="63">
        <f t="shared" si="20"/>
        <v>1</v>
      </c>
      <c r="N138" s="40">
        <f ca="1">AVERAGE(M138:OFFSET(M138,-(O$5-1),0))</f>
        <v>0.33333333333333331</v>
      </c>
      <c r="O138" s="64">
        <f t="shared" ca="1" si="16"/>
        <v>0</v>
      </c>
      <c r="P138" s="68">
        <f ca="1">AVERAGE(E138:OFFSET(E138,-(Q$5-1),0))</f>
        <v>4306.6000000000004</v>
      </c>
      <c r="Q138" s="41">
        <f ca="1">AVERAGE(E138:OFFSET(E138,-(Q$6-1),0))</f>
        <v>4460.1000000000004</v>
      </c>
      <c r="R138" s="64">
        <f t="shared" ca="1" si="17"/>
        <v>0</v>
      </c>
    </row>
    <row r="139" spans="1:18" x14ac:dyDescent="0.25">
      <c r="A139" s="47">
        <v>20081124</v>
      </c>
      <c r="B139" s="48">
        <v>4081</v>
      </c>
      <c r="C139" s="48">
        <v>4108</v>
      </c>
      <c r="D139" s="48">
        <v>3972</v>
      </c>
      <c r="E139" s="48">
        <v>4045</v>
      </c>
      <c r="F139" s="49">
        <v>100402</v>
      </c>
      <c r="G139" s="58">
        <f t="shared" si="19"/>
        <v>-40</v>
      </c>
      <c r="H139" s="58">
        <f t="shared" si="18"/>
        <v>-36</v>
      </c>
      <c r="I139" s="71">
        <f t="shared" ca="1" si="12"/>
        <v>0</v>
      </c>
      <c r="J139" s="73">
        <f t="shared" ca="1" si="13"/>
        <v>1</v>
      </c>
      <c r="K139" s="74">
        <f t="shared" ca="1" si="14"/>
        <v>-76</v>
      </c>
      <c r="L139" s="79">
        <f t="shared" ca="1" si="15"/>
        <v>87</v>
      </c>
      <c r="M139" s="63">
        <f t="shared" si="20"/>
        <v>0</v>
      </c>
      <c r="N139" s="40">
        <f ca="1">AVERAGE(M139:OFFSET(M139,-(O$5-1),0))</f>
        <v>0.26666666666666666</v>
      </c>
      <c r="O139" s="64">
        <f t="shared" ca="1" si="16"/>
        <v>0</v>
      </c>
      <c r="P139" s="68">
        <f ca="1">AVERAGE(E139:OFFSET(E139,-(Q$5-1),0))</f>
        <v>4247.8999999999996</v>
      </c>
      <c r="Q139" s="41">
        <f ca="1">AVERAGE(E139:OFFSET(E139,-(Q$6-1),0))</f>
        <v>4460.6499999999996</v>
      </c>
      <c r="R139" s="64">
        <f t="shared" ca="1" si="17"/>
        <v>0</v>
      </c>
    </row>
    <row r="140" spans="1:18" x14ac:dyDescent="0.25">
      <c r="A140" s="47">
        <v>20081125</v>
      </c>
      <c r="B140" s="48">
        <v>4222</v>
      </c>
      <c r="C140" s="48">
        <v>4285</v>
      </c>
      <c r="D140" s="48">
        <v>4112</v>
      </c>
      <c r="E140" s="48">
        <v>4199</v>
      </c>
      <c r="F140" s="49">
        <v>123507</v>
      </c>
      <c r="G140" s="58">
        <f t="shared" si="19"/>
        <v>177</v>
      </c>
      <c r="H140" s="58">
        <f t="shared" si="18"/>
        <v>-23</v>
      </c>
      <c r="I140" s="71">
        <f t="shared" ca="1" si="12"/>
        <v>0</v>
      </c>
      <c r="J140" s="73">
        <f t="shared" ca="1" si="13"/>
        <v>1</v>
      </c>
      <c r="K140" s="74">
        <f t="shared" ca="1" si="14"/>
        <v>154</v>
      </c>
      <c r="L140" s="79">
        <f t="shared" ca="1" si="15"/>
        <v>241</v>
      </c>
      <c r="M140" s="63">
        <f t="shared" si="20"/>
        <v>1</v>
      </c>
      <c r="N140" s="40">
        <f ca="1">AVERAGE(M140:OFFSET(M140,-(O$5-1),0))</f>
        <v>0.33333333333333331</v>
      </c>
      <c r="O140" s="64">
        <f t="shared" ca="1" si="16"/>
        <v>0</v>
      </c>
      <c r="P140" s="68">
        <f ca="1">AVERAGE(E140:OFFSET(E140,-(Q$5-1),0))</f>
        <v>4220.3999999999996</v>
      </c>
      <c r="Q140" s="41">
        <f ca="1">AVERAGE(E140:OFFSET(E140,-(Q$6-1),0))</f>
        <v>4454.8</v>
      </c>
      <c r="R140" s="64">
        <f t="shared" ca="1" si="17"/>
        <v>0</v>
      </c>
    </row>
    <row r="141" spans="1:18" x14ac:dyDescent="0.25">
      <c r="A141" s="47">
        <v>20081126</v>
      </c>
      <c r="B141" s="48">
        <v>4237</v>
      </c>
      <c r="C141" s="48">
        <v>4268</v>
      </c>
      <c r="D141" s="48">
        <v>4176</v>
      </c>
      <c r="E141" s="48">
        <v>4209</v>
      </c>
      <c r="F141" s="49">
        <v>107756</v>
      </c>
      <c r="G141" s="58">
        <f t="shared" si="19"/>
        <v>38</v>
      </c>
      <c r="H141" s="58">
        <f t="shared" si="18"/>
        <v>-28</v>
      </c>
      <c r="I141" s="71">
        <f t="shared" ca="1" si="12"/>
        <v>0</v>
      </c>
      <c r="J141" s="73">
        <f t="shared" ca="1" si="13"/>
        <v>1</v>
      </c>
      <c r="K141" s="74">
        <f t="shared" ca="1" si="14"/>
        <v>10</v>
      </c>
      <c r="L141" s="79">
        <f t="shared" ca="1" si="15"/>
        <v>251</v>
      </c>
      <c r="M141" s="63">
        <f t="shared" si="20"/>
        <v>1</v>
      </c>
      <c r="N141" s="40">
        <f ca="1">AVERAGE(M141:OFFSET(M141,-(O$5-1),0))</f>
        <v>0.4</v>
      </c>
      <c r="O141" s="64">
        <f t="shared" ca="1" si="16"/>
        <v>0</v>
      </c>
      <c r="P141" s="68">
        <f ca="1">AVERAGE(E141:OFFSET(E141,-(Q$5-1),0))</f>
        <v>4189.2</v>
      </c>
      <c r="Q141" s="41">
        <f ca="1">AVERAGE(E141:OFFSET(E141,-(Q$6-1),0))</f>
        <v>4450.8500000000004</v>
      </c>
      <c r="R141" s="64">
        <f t="shared" ca="1" si="17"/>
        <v>0</v>
      </c>
    </row>
    <row r="142" spans="1:18" x14ac:dyDescent="0.25">
      <c r="A142" s="47">
        <v>20081127</v>
      </c>
      <c r="B142" s="48">
        <v>4330</v>
      </c>
      <c r="C142" s="48">
        <v>4488</v>
      </c>
      <c r="D142" s="48">
        <v>4292</v>
      </c>
      <c r="E142" s="48">
        <v>4430</v>
      </c>
      <c r="F142" s="49">
        <v>105391</v>
      </c>
      <c r="G142" s="58">
        <f t="shared" si="19"/>
        <v>121</v>
      </c>
      <c r="H142" s="58">
        <f t="shared" si="18"/>
        <v>100</v>
      </c>
      <c r="I142" s="71">
        <f t="shared" ca="1" si="12"/>
        <v>0</v>
      </c>
      <c r="J142" s="73">
        <f t="shared" ca="1" si="13"/>
        <v>1</v>
      </c>
      <c r="K142" s="74">
        <f t="shared" ca="1" si="14"/>
        <v>221</v>
      </c>
      <c r="L142" s="79">
        <f t="shared" ca="1" si="15"/>
        <v>472</v>
      </c>
      <c r="M142" s="63">
        <f t="shared" si="20"/>
        <v>1</v>
      </c>
      <c r="N142" s="40">
        <f ca="1">AVERAGE(M142:OFFSET(M142,-(O$5-1),0))</f>
        <v>0.46666666666666667</v>
      </c>
      <c r="O142" s="64">
        <f t="shared" ca="1" si="16"/>
        <v>0</v>
      </c>
      <c r="P142" s="68">
        <f ca="1">AVERAGE(E142:OFFSET(E142,-(Q$5-1),0))</f>
        <v>4203.7</v>
      </c>
      <c r="Q142" s="41">
        <f ca="1">AVERAGE(E142:OFFSET(E142,-(Q$6-1),0))</f>
        <v>4442.6499999999996</v>
      </c>
      <c r="R142" s="64">
        <f t="shared" ca="1" si="17"/>
        <v>0</v>
      </c>
    </row>
    <row r="143" spans="1:18" x14ac:dyDescent="0.25">
      <c r="A143" s="47">
        <v>20081128</v>
      </c>
      <c r="B143" s="48">
        <v>4435</v>
      </c>
      <c r="C143" s="48">
        <v>4465</v>
      </c>
      <c r="D143" s="48">
        <v>4388</v>
      </c>
      <c r="E143" s="48">
        <v>4460</v>
      </c>
      <c r="F143" s="49">
        <v>84211</v>
      </c>
      <c r="G143" s="58">
        <f t="shared" si="19"/>
        <v>5</v>
      </c>
      <c r="H143" s="58">
        <f t="shared" si="18"/>
        <v>25</v>
      </c>
      <c r="I143" s="71">
        <f t="shared" ca="1" si="12"/>
        <v>0</v>
      </c>
      <c r="J143" s="73">
        <f t="shared" ca="1" si="13"/>
        <v>1</v>
      </c>
      <c r="K143" s="74">
        <f t="shared" ca="1" si="14"/>
        <v>30</v>
      </c>
      <c r="L143" s="79">
        <f t="shared" ca="1" si="15"/>
        <v>502</v>
      </c>
      <c r="M143" s="63">
        <f t="shared" si="20"/>
        <v>1</v>
      </c>
      <c r="N143" s="40">
        <f ca="1">AVERAGE(M143:OFFSET(M143,-(O$5-1),0))</f>
        <v>0.46666666666666667</v>
      </c>
      <c r="O143" s="64">
        <f t="shared" ca="1" si="16"/>
        <v>0</v>
      </c>
      <c r="P143" s="68">
        <f ca="1">AVERAGE(E143:OFFSET(E143,-(Q$5-1),0))</f>
        <v>4211.7</v>
      </c>
      <c r="Q143" s="41">
        <f ca="1">AVERAGE(E143:OFFSET(E143,-(Q$6-1),0))</f>
        <v>4423.45</v>
      </c>
      <c r="R143" s="64">
        <f t="shared" ca="1" si="17"/>
        <v>0</v>
      </c>
    </row>
    <row r="144" spans="1:18" x14ac:dyDescent="0.25">
      <c r="A144" s="47">
        <v>20081201</v>
      </c>
      <c r="B144" s="48">
        <v>4420</v>
      </c>
      <c r="C144" s="48">
        <v>4580</v>
      </c>
      <c r="D144" s="48">
        <v>4389</v>
      </c>
      <c r="E144" s="48">
        <v>4501</v>
      </c>
      <c r="F144" s="49">
        <v>106517</v>
      </c>
      <c r="G144" s="58">
        <f t="shared" si="19"/>
        <v>-40</v>
      </c>
      <c r="H144" s="58">
        <f t="shared" si="18"/>
        <v>81</v>
      </c>
      <c r="I144" s="71">
        <f t="shared" ca="1" si="12"/>
        <v>0</v>
      </c>
      <c r="J144" s="73">
        <f t="shared" ca="1" si="13"/>
        <v>1</v>
      </c>
      <c r="K144" s="74">
        <f t="shared" ca="1" si="14"/>
        <v>41</v>
      </c>
      <c r="L144" s="79">
        <f t="shared" ca="1" si="15"/>
        <v>543</v>
      </c>
      <c r="M144" s="63">
        <f t="shared" si="20"/>
        <v>1</v>
      </c>
      <c r="N144" s="40">
        <f ca="1">AVERAGE(M144:OFFSET(M144,-(O$5-1),0))</f>
        <v>0.53333333333333333</v>
      </c>
      <c r="O144" s="64">
        <f t="shared" ca="1" si="16"/>
        <v>0</v>
      </c>
      <c r="P144" s="68">
        <f ca="1">AVERAGE(E144:OFFSET(E144,-(Q$5-1),0))</f>
        <v>4226.1000000000004</v>
      </c>
      <c r="Q144" s="41">
        <f ca="1">AVERAGE(E144:OFFSET(E144,-(Q$6-1),0))</f>
        <v>4398.8999999999996</v>
      </c>
      <c r="R144" s="64">
        <f t="shared" ca="1" si="17"/>
        <v>0</v>
      </c>
    </row>
    <row r="145" spans="1:18" x14ac:dyDescent="0.25">
      <c r="A145" s="47">
        <v>20081202</v>
      </c>
      <c r="B145" s="48">
        <v>4299</v>
      </c>
      <c r="C145" s="48">
        <v>4324</v>
      </c>
      <c r="D145" s="48">
        <v>4206</v>
      </c>
      <c r="E145" s="48">
        <v>4240</v>
      </c>
      <c r="F145" s="49">
        <v>89984</v>
      </c>
      <c r="G145" s="58">
        <f t="shared" si="19"/>
        <v>-202</v>
      </c>
      <c r="H145" s="58">
        <f t="shared" si="18"/>
        <v>-59</v>
      </c>
      <c r="I145" s="71">
        <f t="shared" ca="1" si="12"/>
        <v>0</v>
      </c>
      <c r="J145" s="73">
        <f t="shared" ca="1" si="13"/>
        <v>1</v>
      </c>
      <c r="K145" s="74">
        <f t="shared" ca="1" si="14"/>
        <v>-261</v>
      </c>
      <c r="L145" s="79">
        <f t="shared" ca="1" si="15"/>
        <v>282</v>
      </c>
      <c r="M145" s="63">
        <f t="shared" si="20"/>
        <v>0</v>
      </c>
      <c r="N145" s="40">
        <f ca="1">AVERAGE(M145:OFFSET(M145,-(O$5-1),0))</f>
        <v>0.53333333333333333</v>
      </c>
      <c r="O145" s="64">
        <f t="shared" ca="1" si="16"/>
        <v>0</v>
      </c>
      <c r="P145" s="68">
        <f ca="1">AVERAGE(E145:OFFSET(E145,-(Q$5-1),0))</f>
        <v>4225.7</v>
      </c>
      <c r="Q145" s="41">
        <f ca="1">AVERAGE(E145:OFFSET(E145,-(Q$6-1),0))</f>
        <v>4362</v>
      </c>
      <c r="R145" s="64">
        <f t="shared" ca="1" si="17"/>
        <v>0</v>
      </c>
    </row>
    <row r="146" spans="1:18" x14ac:dyDescent="0.25">
      <c r="A146" s="47">
        <v>20081203</v>
      </c>
      <c r="B146" s="48">
        <v>4268</v>
      </c>
      <c r="C146" s="48">
        <v>4306</v>
      </c>
      <c r="D146" s="48">
        <v>4186</v>
      </c>
      <c r="E146" s="48">
        <v>4188</v>
      </c>
      <c r="F146" s="49">
        <v>94456</v>
      </c>
      <c r="G146" s="58">
        <f t="shared" si="19"/>
        <v>28</v>
      </c>
      <c r="H146" s="58">
        <f t="shared" si="18"/>
        <v>-80</v>
      </c>
      <c r="I146" s="71">
        <f t="shared" ca="1" si="12"/>
        <v>0</v>
      </c>
      <c r="J146" s="73">
        <f t="shared" ca="1" si="13"/>
        <v>1</v>
      </c>
      <c r="K146" s="74">
        <f t="shared" ca="1" si="14"/>
        <v>-52</v>
      </c>
      <c r="L146" s="79">
        <f t="shared" ca="1" si="15"/>
        <v>230</v>
      </c>
      <c r="M146" s="63">
        <f t="shared" si="20"/>
        <v>0</v>
      </c>
      <c r="N146" s="40">
        <f ca="1">AVERAGE(M146:OFFSET(M146,-(O$5-1),0))</f>
        <v>0.46666666666666667</v>
      </c>
      <c r="O146" s="64">
        <f t="shared" ca="1" si="16"/>
        <v>0</v>
      </c>
      <c r="P146" s="68">
        <f ca="1">AVERAGE(E146:OFFSET(E146,-(Q$5-1),0))</f>
        <v>4229.6000000000004</v>
      </c>
      <c r="Q146" s="41">
        <f ca="1">AVERAGE(E146:OFFSET(E146,-(Q$6-1),0))</f>
        <v>4326.3999999999996</v>
      </c>
      <c r="R146" s="64">
        <f t="shared" ca="1" si="17"/>
        <v>0</v>
      </c>
    </row>
    <row r="147" spans="1:18" x14ac:dyDescent="0.25">
      <c r="A147" s="47">
        <v>20081204</v>
      </c>
      <c r="B147" s="48">
        <v>4246</v>
      </c>
      <c r="C147" s="48">
        <v>4284</v>
      </c>
      <c r="D147" s="48">
        <v>4100</v>
      </c>
      <c r="E147" s="48">
        <v>4139</v>
      </c>
      <c r="F147" s="49">
        <v>101059</v>
      </c>
      <c r="G147" s="58">
        <f t="shared" si="19"/>
        <v>58</v>
      </c>
      <c r="H147" s="58">
        <f t="shared" si="18"/>
        <v>-107</v>
      </c>
      <c r="I147" s="71">
        <f t="shared" ca="1" si="12"/>
        <v>0</v>
      </c>
      <c r="J147" s="73">
        <f t="shared" ca="1" si="13"/>
        <v>1</v>
      </c>
      <c r="K147" s="74">
        <f t="shared" ca="1" si="14"/>
        <v>-49</v>
      </c>
      <c r="L147" s="79">
        <f t="shared" ca="1" si="15"/>
        <v>181</v>
      </c>
      <c r="M147" s="63">
        <f t="shared" si="20"/>
        <v>0</v>
      </c>
      <c r="N147" s="40">
        <f ca="1">AVERAGE(M147:OFFSET(M147,-(O$5-1),0))</f>
        <v>0.46666666666666667</v>
      </c>
      <c r="O147" s="64">
        <f t="shared" ca="1" si="16"/>
        <v>0</v>
      </c>
      <c r="P147" s="68">
        <f ca="1">AVERAGE(E147:OFFSET(E147,-(Q$5-1),0))</f>
        <v>4253.2</v>
      </c>
      <c r="Q147" s="41">
        <f ca="1">AVERAGE(E147:OFFSET(E147,-(Q$6-1),0))</f>
        <v>4305.5</v>
      </c>
      <c r="R147" s="64">
        <f t="shared" ca="1" si="17"/>
        <v>0</v>
      </c>
    </row>
    <row r="148" spans="1:18" x14ac:dyDescent="0.25">
      <c r="A148" s="47">
        <v>20081205</v>
      </c>
      <c r="B148" s="48">
        <v>4170</v>
      </c>
      <c r="C148" s="48">
        <v>4202</v>
      </c>
      <c r="D148" s="48">
        <v>4103</v>
      </c>
      <c r="E148" s="48">
        <v>4179</v>
      </c>
      <c r="F148" s="49">
        <v>91680</v>
      </c>
      <c r="G148" s="58">
        <f t="shared" si="19"/>
        <v>31</v>
      </c>
      <c r="H148" s="58">
        <f t="shared" si="18"/>
        <v>9</v>
      </c>
      <c r="I148" s="71">
        <f t="shared" ca="1" si="12"/>
        <v>0</v>
      </c>
      <c r="J148" s="73">
        <f t="shared" ca="1" si="13"/>
        <v>1</v>
      </c>
      <c r="K148" s="74">
        <f t="shared" ca="1" si="14"/>
        <v>40</v>
      </c>
      <c r="L148" s="79">
        <f t="shared" ca="1" si="15"/>
        <v>221</v>
      </c>
      <c r="M148" s="63">
        <f t="shared" si="20"/>
        <v>1</v>
      </c>
      <c r="N148" s="40">
        <f ca="1">AVERAGE(M148:OFFSET(M148,-(O$5-1),0))</f>
        <v>0.46666666666666667</v>
      </c>
      <c r="O148" s="64">
        <f t="shared" ca="1" si="16"/>
        <v>0</v>
      </c>
      <c r="P148" s="68">
        <f ca="1">AVERAGE(E148:OFFSET(E148,-(Q$5-1),0))</f>
        <v>4259</v>
      </c>
      <c r="Q148" s="41">
        <f ca="1">AVERAGE(E148:OFFSET(E148,-(Q$6-1),0))</f>
        <v>4282.8</v>
      </c>
      <c r="R148" s="64">
        <f t="shared" ca="1" si="17"/>
        <v>0</v>
      </c>
    </row>
    <row r="149" spans="1:18" x14ac:dyDescent="0.25">
      <c r="A149" s="47">
        <v>20081208</v>
      </c>
      <c r="B149" s="48">
        <v>4245</v>
      </c>
      <c r="C149" s="48">
        <v>4471</v>
      </c>
      <c r="D149" s="48">
        <v>4231</v>
      </c>
      <c r="E149" s="48">
        <v>4471</v>
      </c>
      <c r="F149" s="49">
        <v>92030</v>
      </c>
      <c r="G149" s="58">
        <f t="shared" si="19"/>
        <v>66</v>
      </c>
      <c r="H149" s="58">
        <f t="shared" si="18"/>
        <v>226</v>
      </c>
      <c r="I149" s="71">
        <f t="shared" ca="1" si="12"/>
        <v>1</v>
      </c>
      <c r="J149" s="73">
        <f t="shared" ca="1" si="13"/>
        <v>1</v>
      </c>
      <c r="K149" s="74">
        <f t="shared" ca="1" si="14"/>
        <v>292</v>
      </c>
      <c r="L149" s="79">
        <f t="shared" ca="1" si="15"/>
        <v>513</v>
      </c>
      <c r="M149" s="63">
        <f t="shared" si="20"/>
        <v>1</v>
      </c>
      <c r="N149" s="40">
        <f ca="1">AVERAGE(M149:OFFSET(M149,-(O$5-1),0))</f>
        <v>0.53333333333333333</v>
      </c>
      <c r="O149" s="64">
        <f t="shared" ca="1" si="16"/>
        <v>0</v>
      </c>
      <c r="P149" s="68">
        <f ca="1">AVERAGE(E149:OFFSET(E149,-(Q$5-1),0))</f>
        <v>4301.6000000000004</v>
      </c>
      <c r="Q149" s="41">
        <f ca="1">AVERAGE(E149:OFFSET(E149,-(Q$6-1),0))</f>
        <v>4274.75</v>
      </c>
      <c r="R149" s="64">
        <f t="shared" ca="1" si="17"/>
        <v>1</v>
      </c>
    </row>
    <row r="150" spans="1:18" x14ac:dyDescent="0.25">
      <c r="A150" s="47">
        <v>20081209</v>
      </c>
      <c r="B150" s="48">
        <v>4495</v>
      </c>
      <c r="C150" s="48">
        <v>4546</v>
      </c>
      <c r="D150" s="48">
        <v>4432</v>
      </c>
      <c r="E150" s="48">
        <v>4460</v>
      </c>
      <c r="F150" s="49">
        <v>107827</v>
      </c>
      <c r="G150" s="58">
        <f t="shared" si="19"/>
        <v>24</v>
      </c>
      <c r="H150" s="58">
        <f t="shared" si="18"/>
        <v>-35</v>
      </c>
      <c r="I150" s="71">
        <f t="shared" ca="1" si="12"/>
        <v>0</v>
      </c>
      <c r="J150" s="73">
        <f t="shared" ca="1" si="13"/>
        <v>2</v>
      </c>
      <c r="K150" s="74">
        <f t="shared" ca="1" si="14"/>
        <v>-46</v>
      </c>
      <c r="L150" s="79">
        <f t="shared" ca="1" si="15"/>
        <v>467</v>
      </c>
      <c r="M150" s="63">
        <f t="shared" si="20"/>
        <v>0</v>
      </c>
      <c r="N150" s="40">
        <f ca="1">AVERAGE(M150:OFFSET(M150,-(O$5-1),0))</f>
        <v>0.53333333333333333</v>
      </c>
      <c r="O150" s="64">
        <f t="shared" ca="1" si="16"/>
        <v>0</v>
      </c>
      <c r="P150" s="68">
        <f ca="1">AVERAGE(E150:OFFSET(E150,-(Q$5-1),0))</f>
        <v>4327.7</v>
      </c>
      <c r="Q150" s="41">
        <f ca="1">AVERAGE(E150:OFFSET(E150,-(Q$6-1),0))</f>
        <v>4274.05</v>
      </c>
      <c r="R150" s="64">
        <f t="shared" ca="1" si="17"/>
        <v>0</v>
      </c>
    </row>
    <row r="151" spans="1:18" x14ac:dyDescent="0.25">
      <c r="A151" s="47">
        <v>20081210</v>
      </c>
      <c r="B151" s="48">
        <v>4486</v>
      </c>
      <c r="C151" s="48">
        <v>4724</v>
      </c>
      <c r="D151" s="48">
        <v>4471</v>
      </c>
      <c r="E151" s="48">
        <v>4691</v>
      </c>
      <c r="F151" s="49">
        <v>113641</v>
      </c>
      <c r="G151" s="58">
        <f t="shared" si="19"/>
        <v>26</v>
      </c>
      <c r="H151" s="58">
        <f t="shared" si="18"/>
        <v>205</v>
      </c>
      <c r="I151" s="71">
        <f t="shared" ca="1" si="12"/>
        <v>0</v>
      </c>
      <c r="J151" s="73">
        <f t="shared" ca="1" si="13"/>
        <v>2</v>
      </c>
      <c r="K151" s="74">
        <f t="shared" ca="1" si="14"/>
        <v>462</v>
      </c>
      <c r="L151" s="79">
        <f t="shared" ca="1" si="15"/>
        <v>929</v>
      </c>
      <c r="M151" s="63">
        <f t="shared" si="20"/>
        <v>1</v>
      </c>
      <c r="N151" s="40">
        <f ca="1">AVERAGE(M151:OFFSET(M151,-(O$5-1),0))</f>
        <v>0.6</v>
      </c>
      <c r="O151" s="64">
        <f t="shared" ca="1" si="16"/>
        <v>0</v>
      </c>
      <c r="P151" s="68">
        <f ca="1">AVERAGE(E151:OFFSET(E151,-(Q$5-1),0))</f>
        <v>4375.8999999999996</v>
      </c>
      <c r="Q151" s="41">
        <f ca="1">AVERAGE(E151:OFFSET(E151,-(Q$6-1),0))</f>
        <v>4282.55</v>
      </c>
      <c r="R151" s="64">
        <f t="shared" ca="1" si="17"/>
        <v>0</v>
      </c>
    </row>
    <row r="152" spans="1:18" x14ac:dyDescent="0.25">
      <c r="A152" s="47">
        <v>20081211</v>
      </c>
      <c r="B152" s="48">
        <v>4651</v>
      </c>
      <c r="C152" s="48">
        <v>4704</v>
      </c>
      <c r="D152" s="48">
        <v>4625</v>
      </c>
      <c r="E152" s="48">
        <v>4666</v>
      </c>
      <c r="F152" s="49">
        <v>95881</v>
      </c>
      <c r="G152" s="58">
        <f t="shared" si="19"/>
        <v>-40</v>
      </c>
      <c r="H152" s="58">
        <f t="shared" si="18"/>
        <v>15</v>
      </c>
      <c r="I152" s="71">
        <f t="shared" ca="1" si="12"/>
        <v>0</v>
      </c>
      <c r="J152" s="73">
        <f t="shared" ca="1" si="13"/>
        <v>2</v>
      </c>
      <c r="K152" s="74">
        <f t="shared" ca="1" si="14"/>
        <v>-50</v>
      </c>
      <c r="L152" s="79">
        <f t="shared" ca="1" si="15"/>
        <v>879</v>
      </c>
      <c r="M152" s="63">
        <f t="shared" si="20"/>
        <v>0</v>
      </c>
      <c r="N152" s="40">
        <f ca="1">AVERAGE(M152:OFFSET(M152,-(O$5-1),0))</f>
        <v>0.6</v>
      </c>
      <c r="O152" s="64">
        <f t="shared" ca="1" si="16"/>
        <v>0</v>
      </c>
      <c r="P152" s="68">
        <f ca="1">AVERAGE(E152:OFFSET(E152,-(Q$5-1),0))</f>
        <v>4399.5</v>
      </c>
      <c r="Q152" s="41">
        <f ca="1">AVERAGE(E152:OFFSET(E152,-(Q$6-1),0))</f>
        <v>4301.6000000000004</v>
      </c>
      <c r="R152" s="64">
        <f t="shared" ca="1" si="17"/>
        <v>0</v>
      </c>
    </row>
    <row r="153" spans="1:18" x14ac:dyDescent="0.25">
      <c r="A153" s="47">
        <v>20081212</v>
      </c>
      <c r="B153" s="48">
        <v>4570</v>
      </c>
      <c r="C153" s="48">
        <v>4643</v>
      </c>
      <c r="D153" s="48">
        <v>4343</v>
      </c>
      <c r="E153" s="48">
        <v>4425</v>
      </c>
      <c r="F153" s="49">
        <v>119805</v>
      </c>
      <c r="G153" s="58">
        <f t="shared" si="19"/>
        <v>-96</v>
      </c>
      <c r="H153" s="58">
        <f t="shared" si="18"/>
        <v>-145</v>
      </c>
      <c r="I153" s="71">
        <f t="shared" ca="1" si="12"/>
        <v>0</v>
      </c>
      <c r="J153" s="73">
        <f t="shared" ca="1" si="13"/>
        <v>2</v>
      </c>
      <c r="K153" s="74">
        <f t="shared" ca="1" si="14"/>
        <v>-482</v>
      </c>
      <c r="L153" s="79">
        <f t="shared" ca="1" si="15"/>
        <v>397</v>
      </c>
      <c r="M153" s="63">
        <f t="shared" si="20"/>
        <v>0</v>
      </c>
      <c r="N153" s="40">
        <f ca="1">AVERAGE(M153:OFFSET(M153,-(O$5-1),0))</f>
        <v>0.53333333333333333</v>
      </c>
      <c r="O153" s="64">
        <f t="shared" ca="1" si="16"/>
        <v>0</v>
      </c>
      <c r="P153" s="68">
        <f ca="1">AVERAGE(E153:OFFSET(E153,-(Q$5-1),0))</f>
        <v>4396</v>
      </c>
      <c r="Q153" s="41">
        <f ca="1">AVERAGE(E153:OFFSET(E153,-(Q$6-1),0))</f>
        <v>4303.8500000000004</v>
      </c>
      <c r="R153" s="64">
        <f t="shared" ca="1" si="17"/>
        <v>0</v>
      </c>
    </row>
    <row r="154" spans="1:18" x14ac:dyDescent="0.25">
      <c r="A154" s="47">
        <v>20081215</v>
      </c>
      <c r="B154" s="48">
        <v>4615</v>
      </c>
      <c r="C154" s="48">
        <v>4718</v>
      </c>
      <c r="D154" s="48">
        <v>4553</v>
      </c>
      <c r="E154" s="48">
        <v>4610</v>
      </c>
      <c r="F154" s="49">
        <v>107596</v>
      </c>
      <c r="G154" s="58">
        <f t="shared" si="19"/>
        <v>190</v>
      </c>
      <c r="H154" s="58">
        <f t="shared" si="18"/>
        <v>-5</v>
      </c>
      <c r="I154" s="71">
        <f t="shared" ca="1" si="12"/>
        <v>0</v>
      </c>
      <c r="J154" s="73">
        <f t="shared" ca="1" si="13"/>
        <v>2</v>
      </c>
      <c r="K154" s="74">
        <f t="shared" ca="1" si="14"/>
        <v>370</v>
      </c>
      <c r="L154" s="79">
        <f t="shared" ca="1" si="15"/>
        <v>767</v>
      </c>
      <c r="M154" s="63">
        <f t="shared" si="20"/>
        <v>1</v>
      </c>
      <c r="N154" s="40">
        <f ca="1">AVERAGE(M154:OFFSET(M154,-(O$5-1),0))</f>
        <v>0.6</v>
      </c>
      <c r="O154" s="64">
        <f t="shared" ca="1" si="16"/>
        <v>0</v>
      </c>
      <c r="P154" s="68">
        <f ca="1">AVERAGE(E154:OFFSET(E154,-(Q$5-1),0))</f>
        <v>4406.8999999999996</v>
      </c>
      <c r="Q154" s="41">
        <f ca="1">AVERAGE(E154:OFFSET(E154,-(Q$6-1),0))</f>
        <v>4316.5</v>
      </c>
      <c r="R154" s="64">
        <f t="shared" ca="1" si="17"/>
        <v>0</v>
      </c>
    </row>
    <row r="155" spans="1:18" x14ac:dyDescent="0.25">
      <c r="A155" s="47">
        <v>20081216</v>
      </c>
      <c r="B155" s="48">
        <v>4549</v>
      </c>
      <c r="C155" s="48">
        <v>4614</v>
      </c>
      <c r="D155" s="48">
        <v>4521</v>
      </c>
      <c r="E155" s="48">
        <v>4585</v>
      </c>
      <c r="F155" s="49">
        <v>78144</v>
      </c>
      <c r="G155" s="58">
        <f t="shared" si="19"/>
        <v>-61</v>
      </c>
      <c r="H155" s="58">
        <f t="shared" si="18"/>
        <v>36</v>
      </c>
      <c r="I155" s="71">
        <f t="shared" ca="1" si="12"/>
        <v>0</v>
      </c>
      <c r="J155" s="73">
        <f t="shared" ca="1" si="13"/>
        <v>2</v>
      </c>
      <c r="K155" s="74">
        <f t="shared" ca="1" si="14"/>
        <v>-50</v>
      </c>
      <c r="L155" s="79">
        <f t="shared" ca="1" si="15"/>
        <v>717</v>
      </c>
      <c r="M155" s="63">
        <f t="shared" si="20"/>
        <v>0</v>
      </c>
      <c r="N155" s="40">
        <f ca="1">AVERAGE(M155:OFFSET(M155,-(O$5-1),0))</f>
        <v>0.53333333333333333</v>
      </c>
      <c r="O155" s="64">
        <f t="shared" ca="1" si="16"/>
        <v>0</v>
      </c>
      <c r="P155" s="68">
        <f ca="1">AVERAGE(E155:OFFSET(E155,-(Q$5-1),0))</f>
        <v>4441.3999999999996</v>
      </c>
      <c r="Q155" s="41">
        <f ca="1">AVERAGE(E155:OFFSET(E155,-(Q$6-1),0))</f>
        <v>4333.55</v>
      </c>
      <c r="R155" s="64">
        <f t="shared" ca="1" si="17"/>
        <v>0</v>
      </c>
    </row>
    <row r="156" spans="1:18" x14ac:dyDescent="0.25">
      <c r="A156" s="47">
        <v>20081217</v>
      </c>
      <c r="B156" s="48">
        <v>4671</v>
      </c>
      <c r="C156" s="48">
        <v>4720</v>
      </c>
      <c r="D156" s="48">
        <v>4585</v>
      </c>
      <c r="E156" s="48">
        <v>4623</v>
      </c>
      <c r="F156" s="49">
        <v>60082</v>
      </c>
      <c r="G156" s="58">
        <f t="shared" si="19"/>
        <v>86</v>
      </c>
      <c r="H156" s="58">
        <f t="shared" si="18"/>
        <v>-48</v>
      </c>
      <c r="I156" s="71">
        <f t="shared" ca="1" si="12"/>
        <v>0</v>
      </c>
      <c r="J156" s="73">
        <f t="shared" ca="1" si="13"/>
        <v>2</v>
      </c>
      <c r="K156" s="74">
        <f t="shared" ca="1" si="14"/>
        <v>76</v>
      </c>
      <c r="L156" s="79">
        <f t="shared" ca="1" si="15"/>
        <v>793</v>
      </c>
      <c r="M156" s="63">
        <f t="shared" si="20"/>
        <v>1</v>
      </c>
      <c r="N156" s="40">
        <f ca="1">AVERAGE(M156:OFFSET(M156,-(O$5-1),0))</f>
        <v>0.53333333333333333</v>
      </c>
      <c r="O156" s="64">
        <f t="shared" ca="1" si="16"/>
        <v>0</v>
      </c>
      <c r="P156" s="68">
        <f ca="1">AVERAGE(E156:OFFSET(E156,-(Q$5-1),0))</f>
        <v>4484.8999999999996</v>
      </c>
      <c r="Q156" s="41">
        <f ca="1">AVERAGE(E156:OFFSET(E156,-(Q$6-1),0))</f>
        <v>4357.25</v>
      </c>
      <c r="R156" s="64">
        <f t="shared" ca="1" si="17"/>
        <v>0</v>
      </c>
    </row>
    <row r="157" spans="1:18" x14ac:dyDescent="0.25">
      <c r="A157" s="47">
        <v>20081218</v>
      </c>
      <c r="B157" s="48">
        <v>4680</v>
      </c>
      <c r="C157" s="48">
        <v>4705</v>
      </c>
      <c r="D157" s="48">
        <v>4596</v>
      </c>
      <c r="E157" s="48">
        <v>4699</v>
      </c>
      <c r="F157" s="49">
        <v>87267</v>
      </c>
      <c r="G157" s="58">
        <f t="shared" si="19"/>
        <v>57</v>
      </c>
      <c r="H157" s="58">
        <f t="shared" si="18"/>
        <v>19</v>
      </c>
      <c r="I157" s="71">
        <f t="shared" ca="1" si="12"/>
        <v>0</v>
      </c>
      <c r="J157" s="73">
        <f t="shared" ca="1" si="13"/>
        <v>2</v>
      </c>
      <c r="K157" s="74">
        <f t="shared" ca="1" si="14"/>
        <v>152</v>
      </c>
      <c r="L157" s="79">
        <f t="shared" ca="1" si="15"/>
        <v>945</v>
      </c>
      <c r="M157" s="63">
        <f t="shared" si="20"/>
        <v>1</v>
      </c>
      <c r="N157" s="40">
        <f ca="1">AVERAGE(M157:OFFSET(M157,-(O$5-1),0))</f>
        <v>0.53333333333333333</v>
      </c>
      <c r="O157" s="64">
        <f t="shared" ca="1" si="16"/>
        <v>0</v>
      </c>
      <c r="P157" s="68">
        <f ca="1">AVERAGE(E157:OFFSET(E157,-(Q$5-1),0))</f>
        <v>4540.8999999999996</v>
      </c>
      <c r="Q157" s="41">
        <f ca="1">AVERAGE(E157:OFFSET(E157,-(Q$6-1),0))</f>
        <v>4397.05</v>
      </c>
      <c r="R157" s="64">
        <f t="shared" ca="1" si="17"/>
        <v>0</v>
      </c>
    </row>
    <row r="158" spans="1:18" x14ac:dyDescent="0.25">
      <c r="A158" s="47">
        <v>20081219</v>
      </c>
      <c r="B158" s="48">
        <v>4662</v>
      </c>
      <c r="C158" s="48">
        <v>4724</v>
      </c>
      <c r="D158" s="48">
        <v>4582</v>
      </c>
      <c r="E158" s="48">
        <v>4680</v>
      </c>
      <c r="F158" s="49">
        <v>108922</v>
      </c>
      <c r="G158" s="58">
        <f t="shared" si="19"/>
        <v>-37</v>
      </c>
      <c r="H158" s="58">
        <f t="shared" si="18"/>
        <v>18</v>
      </c>
      <c r="I158" s="71">
        <f t="shared" ca="1" si="12"/>
        <v>0</v>
      </c>
      <c r="J158" s="73">
        <f t="shared" ca="1" si="13"/>
        <v>2</v>
      </c>
      <c r="K158" s="74">
        <f t="shared" ca="1" si="14"/>
        <v>-38</v>
      </c>
      <c r="L158" s="79">
        <f t="shared" ca="1" si="15"/>
        <v>907</v>
      </c>
      <c r="M158" s="63">
        <f t="shared" si="20"/>
        <v>0</v>
      </c>
      <c r="N158" s="40">
        <f ca="1">AVERAGE(M158:OFFSET(M158,-(O$5-1),0))</f>
        <v>0.46666666666666667</v>
      </c>
      <c r="O158" s="64">
        <f t="shared" ca="1" si="16"/>
        <v>0</v>
      </c>
      <c r="P158" s="68">
        <f ca="1">AVERAGE(E158:OFFSET(E158,-(Q$5-1),0))</f>
        <v>4591</v>
      </c>
      <c r="Q158" s="41">
        <f ca="1">AVERAGE(E158:OFFSET(E158,-(Q$6-1),0))</f>
        <v>4425</v>
      </c>
      <c r="R158" s="64">
        <f t="shared" ca="1" si="17"/>
        <v>0</v>
      </c>
    </row>
    <row r="159" spans="1:18" x14ac:dyDescent="0.25">
      <c r="A159" s="47">
        <v>20081222</v>
      </c>
      <c r="B159" s="48">
        <v>4720</v>
      </c>
      <c r="C159" s="48">
        <v>4755</v>
      </c>
      <c r="D159" s="48">
        <v>4498</v>
      </c>
      <c r="E159" s="48">
        <v>4529</v>
      </c>
      <c r="F159" s="49">
        <v>100130</v>
      </c>
      <c r="G159" s="58">
        <f t="shared" si="19"/>
        <v>40</v>
      </c>
      <c r="H159" s="58">
        <f t="shared" si="18"/>
        <v>-191</v>
      </c>
      <c r="I159" s="71">
        <f t="shared" ca="1" si="12"/>
        <v>0</v>
      </c>
      <c r="J159" s="73">
        <f t="shared" ca="1" si="13"/>
        <v>2</v>
      </c>
      <c r="K159" s="74">
        <f t="shared" ca="1" si="14"/>
        <v>-302</v>
      </c>
      <c r="L159" s="79">
        <f t="shared" ca="1" si="15"/>
        <v>605</v>
      </c>
      <c r="M159" s="63">
        <f t="shared" si="20"/>
        <v>0</v>
      </c>
      <c r="N159" s="40">
        <f ca="1">AVERAGE(M159:OFFSET(M159,-(O$5-1),0))</f>
        <v>0.4</v>
      </c>
      <c r="O159" s="64">
        <f t="shared" ca="1" si="16"/>
        <v>0</v>
      </c>
      <c r="P159" s="68">
        <f ca="1">AVERAGE(E159:OFFSET(E159,-(Q$5-1),0))</f>
        <v>4596.8</v>
      </c>
      <c r="Q159" s="41">
        <f ca="1">AVERAGE(E159:OFFSET(E159,-(Q$6-1),0))</f>
        <v>4449.2</v>
      </c>
      <c r="R159" s="64">
        <f t="shared" ca="1" si="17"/>
        <v>0</v>
      </c>
    </row>
    <row r="160" spans="1:18" x14ac:dyDescent="0.25">
      <c r="A160" s="47">
        <v>20081223</v>
      </c>
      <c r="B160" s="48">
        <v>4507</v>
      </c>
      <c r="C160" s="48">
        <v>4524</v>
      </c>
      <c r="D160" s="48">
        <v>4290</v>
      </c>
      <c r="E160" s="48">
        <v>4349</v>
      </c>
      <c r="F160" s="49">
        <v>104865</v>
      </c>
      <c r="G160" s="58">
        <f t="shared" si="19"/>
        <v>-22</v>
      </c>
      <c r="H160" s="58">
        <f t="shared" si="18"/>
        <v>-158</v>
      </c>
      <c r="I160" s="71">
        <f t="shared" ca="1" si="12"/>
        <v>0</v>
      </c>
      <c r="J160" s="73">
        <f t="shared" ca="1" si="13"/>
        <v>2</v>
      </c>
      <c r="K160" s="74">
        <f t="shared" ca="1" si="14"/>
        <v>-360</v>
      </c>
      <c r="L160" s="79">
        <f t="shared" ca="1" si="15"/>
        <v>245</v>
      </c>
      <c r="M160" s="63">
        <f t="shared" si="20"/>
        <v>0</v>
      </c>
      <c r="N160" s="40">
        <f ca="1">AVERAGE(M160:OFFSET(M160,-(O$5-1),0))</f>
        <v>0.4</v>
      </c>
      <c r="O160" s="64">
        <f t="shared" ca="1" si="16"/>
        <v>0</v>
      </c>
      <c r="P160" s="68">
        <f ca="1">AVERAGE(E160:OFFSET(E160,-(Q$5-1),0))</f>
        <v>4585.7</v>
      </c>
      <c r="Q160" s="41">
        <f ca="1">AVERAGE(E160:OFFSET(E160,-(Q$6-1),0))</f>
        <v>4456.7</v>
      </c>
      <c r="R160" s="64">
        <f t="shared" ca="1" si="17"/>
        <v>0</v>
      </c>
    </row>
    <row r="161" spans="1:18" x14ac:dyDescent="0.25">
      <c r="A161" s="47">
        <v>20081224</v>
      </c>
      <c r="B161" s="48">
        <v>4310</v>
      </c>
      <c r="C161" s="48">
        <v>4399</v>
      </c>
      <c r="D161" s="48">
        <v>4241</v>
      </c>
      <c r="E161" s="48">
        <v>4379</v>
      </c>
      <c r="F161" s="49">
        <v>103165</v>
      </c>
      <c r="G161" s="58">
        <f t="shared" si="19"/>
        <v>-39</v>
      </c>
      <c r="H161" s="58">
        <f t="shared" si="18"/>
        <v>69</v>
      </c>
      <c r="I161" s="71">
        <f t="shared" ca="1" si="12"/>
        <v>0</v>
      </c>
      <c r="J161" s="73">
        <f t="shared" ca="1" si="13"/>
        <v>2</v>
      </c>
      <c r="K161" s="74">
        <f t="shared" ca="1" si="14"/>
        <v>60</v>
      </c>
      <c r="L161" s="79">
        <f t="shared" ca="1" si="15"/>
        <v>305</v>
      </c>
      <c r="M161" s="63">
        <f t="shared" si="20"/>
        <v>1</v>
      </c>
      <c r="N161" s="40">
        <f ca="1">AVERAGE(M161:OFFSET(M161,-(O$5-1),0))</f>
        <v>0.46666666666666667</v>
      </c>
      <c r="O161" s="64">
        <f t="shared" ca="1" si="16"/>
        <v>0</v>
      </c>
      <c r="P161" s="68">
        <f ca="1">AVERAGE(E161:OFFSET(E161,-(Q$5-1),0))</f>
        <v>4554.5</v>
      </c>
      <c r="Q161" s="41">
        <f ca="1">AVERAGE(E161:OFFSET(E161,-(Q$6-1),0))</f>
        <v>4465.2</v>
      </c>
      <c r="R161" s="64">
        <f t="shared" ca="1" si="17"/>
        <v>0</v>
      </c>
    </row>
    <row r="162" spans="1:18" x14ac:dyDescent="0.25">
      <c r="A162" s="47">
        <v>20081225</v>
      </c>
      <c r="B162" s="48">
        <v>4380</v>
      </c>
      <c r="C162" s="48">
        <v>4405</v>
      </c>
      <c r="D162" s="48">
        <v>4330</v>
      </c>
      <c r="E162" s="48">
        <v>4405</v>
      </c>
      <c r="F162" s="49">
        <v>43402</v>
      </c>
      <c r="G162" s="58">
        <f t="shared" si="19"/>
        <v>1</v>
      </c>
      <c r="H162" s="58">
        <f t="shared" si="18"/>
        <v>25</v>
      </c>
      <c r="I162" s="71">
        <f t="shared" ca="1" si="12"/>
        <v>0</v>
      </c>
      <c r="J162" s="73">
        <f t="shared" ca="1" si="13"/>
        <v>2</v>
      </c>
      <c r="K162" s="74">
        <f t="shared" ca="1" si="14"/>
        <v>52</v>
      </c>
      <c r="L162" s="79">
        <f t="shared" ca="1" si="15"/>
        <v>357</v>
      </c>
      <c r="M162" s="63">
        <f t="shared" si="20"/>
        <v>1</v>
      </c>
      <c r="N162" s="40">
        <f ca="1">AVERAGE(M162:OFFSET(M162,-(O$5-1),0))</f>
        <v>0.53333333333333333</v>
      </c>
      <c r="O162" s="64">
        <f t="shared" ca="1" si="16"/>
        <v>0</v>
      </c>
      <c r="P162" s="68">
        <f ca="1">AVERAGE(E162:OFFSET(E162,-(Q$5-1),0))</f>
        <v>4528.3999999999996</v>
      </c>
      <c r="Q162" s="41">
        <f ca="1">AVERAGE(E162:OFFSET(E162,-(Q$6-1),0))</f>
        <v>4463.95</v>
      </c>
      <c r="R162" s="64">
        <f t="shared" ca="1" si="17"/>
        <v>0</v>
      </c>
    </row>
    <row r="163" spans="1:18" x14ac:dyDescent="0.25">
      <c r="A163" s="47">
        <v>20081226</v>
      </c>
      <c r="B163" s="48">
        <v>4372</v>
      </c>
      <c r="C163" s="48">
        <v>4445</v>
      </c>
      <c r="D163" s="48">
        <v>4339</v>
      </c>
      <c r="E163" s="48">
        <v>4378</v>
      </c>
      <c r="F163" s="49">
        <v>68148</v>
      </c>
      <c r="G163" s="58">
        <f t="shared" si="19"/>
        <v>-33</v>
      </c>
      <c r="H163" s="58">
        <f t="shared" si="18"/>
        <v>6</v>
      </c>
      <c r="I163" s="71">
        <f t="shared" ca="1" si="12"/>
        <v>0</v>
      </c>
      <c r="J163" s="73">
        <f t="shared" ca="1" si="13"/>
        <v>2</v>
      </c>
      <c r="K163" s="74">
        <f t="shared" ca="1" si="14"/>
        <v>-54</v>
      </c>
      <c r="L163" s="79">
        <f t="shared" ca="1" si="15"/>
        <v>303</v>
      </c>
      <c r="M163" s="63">
        <f t="shared" si="20"/>
        <v>0</v>
      </c>
      <c r="N163" s="40">
        <f ca="1">AVERAGE(M163:OFFSET(M163,-(O$5-1),0))</f>
        <v>0.46666666666666667</v>
      </c>
      <c r="O163" s="64">
        <f t="shared" ca="1" si="16"/>
        <v>0</v>
      </c>
      <c r="P163" s="68">
        <f ca="1">AVERAGE(E163:OFFSET(E163,-(Q$5-1),0))</f>
        <v>4523.7</v>
      </c>
      <c r="Q163" s="41">
        <f ca="1">AVERAGE(E163:OFFSET(E163,-(Q$6-1),0))</f>
        <v>4459.8500000000004</v>
      </c>
      <c r="R163" s="64">
        <f t="shared" ca="1" si="17"/>
        <v>0</v>
      </c>
    </row>
    <row r="164" spans="1:18" x14ac:dyDescent="0.25">
      <c r="A164" s="47">
        <v>20081229</v>
      </c>
      <c r="B164" s="48">
        <v>4366</v>
      </c>
      <c r="C164" s="48">
        <v>4399</v>
      </c>
      <c r="D164" s="48">
        <v>4316</v>
      </c>
      <c r="E164" s="48">
        <v>4386</v>
      </c>
      <c r="F164" s="49">
        <v>47046</v>
      </c>
      <c r="G164" s="58">
        <f t="shared" si="19"/>
        <v>-12</v>
      </c>
      <c r="H164" s="58">
        <f t="shared" si="18"/>
        <v>20</v>
      </c>
      <c r="I164" s="71">
        <f t="shared" ca="1" si="12"/>
        <v>0</v>
      </c>
      <c r="J164" s="73">
        <f t="shared" ca="1" si="13"/>
        <v>2</v>
      </c>
      <c r="K164" s="74">
        <f t="shared" ca="1" si="14"/>
        <v>16</v>
      </c>
      <c r="L164" s="79">
        <f t="shared" ca="1" si="15"/>
        <v>319</v>
      </c>
      <c r="M164" s="63">
        <f t="shared" si="20"/>
        <v>1</v>
      </c>
      <c r="N164" s="40">
        <f ca="1">AVERAGE(M164:OFFSET(M164,-(O$5-1),0))</f>
        <v>0.46666666666666667</v>
      </c>
      <c r="O164" s="64">
        <f t="shared" ca="1" si="16"/>
        <v>0</v>
      </c>
      <c r="P164" s="68">
        <f ca="1">AVERAGE(E164:OFFSET(E164,-(Q$5-1),0))</f>
        <v>4501.3</v>
      </c>
      <c r="Q164" s="41">
        <f ca="1">AVERAGE(E164:OFFSET(E164,-(Q$6-1),0))</f>
        <v>4454.1000000000004</v>
      </c>
      <c r="R164" s="64">
        <f t="shared" ca="1" si="17"/>
        <v>0</v>
      </c>
    </row>
    <row r="165" spans="1:18" x14ac:dyDescent="0.25">
      <c r="A165" s="47">
        <v>20081230</v>
      </c>
      <c r="B165" s="48">
        <v>4429</v>
      </c>
      <c r="C165" s="48">
        <v>4605</v>
      </c>
      <c r="D165" s="48">
        <v>4422</v>
      </c>
      <c r="E165" s="48">
        <v>4565</v>
      </c>
      <c r="F165" s="49">
        <v>71659</v>
      </c>
      <c r="G165" s="58">
        <f t="shared" si="19"/>
        <v>43</v>
      </c>
      <c r="H165" s="58">
        <f t="shared" si="18"/>
        <v>136</v>
      </c>
      <c r="I165" s="71">
        <f t="shared" ca="1" si="12"/>
        <v>0</v>
      </c>
      <c r="J165" s="73">
        <f t="shared" ca="1" si="13"/>
        <v>2</v>
      </c>
      <c r="K165" s="74">
        <f t="shared" ca="1" si="14"/>
        <v>358</v>
      </c>
      <c r="L165" s="79">
        <f t="shared" ca="1" si="15"/>
        <v>677</v>
      </c>
      <c r="M165" s="63">
        <f t="shared" si="20"/>
        <v>1</v>
      </c>
      <c r="N165" s="40">
        <f ca="1">AVERAGE(M165:OFFSET(M165,-(O$5-1),0))</f>
        <v>0.53333333333333333</v>
      </c>
      <c r="O165" s="64">
        <f t="shared" ca="1" si="16"/>
        <v>0</v>
      </c>
      <c r="P165" s="68">
        <f ca="1">AVERAGE(E165:OFFSET(E165,-(Q$5-1),0))</f>
        <v>4499.3</v>
      </c>
      <c r="Q165" s="41">
        <f ca="1">AVERAGE(E165:OFFSET(E165,-(Q$6-1),0))</f>
        <v>4470.3500000000004</v>
      </c>
      <c r="R165" s="64">
        <f t="shared" ca="1" si="17"/>
        <v>0</v>
      </c>
    </row>
    <row r="166" spans="1:18" x14ac:dyDescent="0.25">
      <c r="A166" s="47">
        <v>20081231</v>
      </c>
      <c r="B166" s="48">
        <v>4605</v>
      </c>
      <c r="C166" s="48">
        <v>4614</v>
      </c>
      <c r="D166" s="48">
        <v>4485</v>
      </c>
      <c r="E166" s="48">
        <v>4540</v>
      </c>
      <c r="F166" s="49">
        <v>68206</v>
      </c>
      <c r="G166" s="58">
        <f t="shared" si="19"/>
        <v>40</v>
      </c>
      <c r="H166" s="58">
        <f t="shared" si="18"/>
        <v>-65</v>
      </c>
      <c r="I166" s="71">
        <f t="shared" ca="1" si="12"/>
        <v>0</v>
      </c>
      <c r="J166" s="73">
        <f t="shared" ca="1" si="13"/>
        <v>2</v>
      </c>
      <c r="K166" s="74">
        <f t="shared" ca="1" si="14"/>
        <v>-50</v>
      </c>
      <c r="L166" s="79">
        <f t="shared" ca="1" si="15"/>
        <v>627</v>
      </c>
      <c r="M166" s="63">
        <f t="shared" si="20"/>
        <v>0</v>
      </c>
      <c r="N166" s="40">
        <f ca="1">AVERAGE(M166:OFFSET(M166,-(O$5-1),0))</f>
        <v>0.46666666666666667</v>
      </c>
      <c r="O166" s="64">
        <f t="shared" ca="1" si="16"/>
        <v>0</v>
      </c>
      <c r="P166" s="68">
        <f ca="1">AVERAGE(E166:OFFSET(E166,-(Q$5-1),0))</f>
        <v>4491</v>
      </c>
      <c r="Q166" s="41">
        <f ca="1">AVERAGE(E166:OFFSET(E166,-(Q$6-1),0))</f>
        <v>4487.95</v>
      </c>
      <c r="R166" s="64">
        <f t="shared" ca="1" si="17"/>
        <v>0</v>
      </c>
    </row>
    <row r="167" spans="1:18" x14ac:dyDescent="0.25">
      <c r="A167" s="47">
        <v>20090105</v>
      </c>
      <c r="B167" s="48">
        <v>4722</v>
      </c>
      <c r="C167" s="48">
        <v>4797</v>
      </c>
      <c r="D167" s="48">
        <v>4634</v>
      </c>
      <c r="E167" s="48">
        <v>4670</v>
      </c>
      <c r="F167" s="49">
        <v>97869</v>
      </c>
      <c r="G167" s="58">
        <f t="shared" si="19"/>
        <v>182</v>
      </c>
      <c r="H167" s="58">
        <f t="shared" si="18"/>
        <v>-52</v>
      </c>
      <c r="I167" s="71">
        <f t="shared" ca="1" si="12"/>
        <v>-1</v>
      </c>
      <c r="J167" s="73">
        <f t="shared" ca="1" si="13"/>
        <v>2</v>
      </c>
      <c r="K167" s="74">
        <f t="shared" ca="1" si="14"/>
        <v>260</v>
      </c>
      <c r="L167" s="79">
        <f t="shared" ca="1" si="15"/>
        <v>887</v>
      </c>
      <c r="M167" s="63">
        <f t="shared" si="20"/>
        <v>1</v>
      </c>
      <c r="N167" s="40">
        <f ca="1">AVERAGE(M167:OFFSET(M167,-(O$5-1),0))</f>
        <v>0.53333333333333333</v>
      </c>
      <c r="O167" s="64">
        <f t="shared" ca="1" si="16"/>
        <v>0</v>
      </c>
      <c r="P167" s="68">
        <f ca="1">AVERAGE(E167:OFFSET(E167,-(Q$5-1),0))</f>
        <v>4488.1000000000004</v>
      </c>
      <c r="Q167" s="41">
        <f ca="1">AVERAGE(E167:OFFSET(E167,-(Q$6-1),0))</f>
        <v>4514.5</v>
      </c>
      <c r="R167" s="64">
        <f t="shared" ca="1" si="17"/>
        <v>-1</v>
      </c>
    </row>
    <row r="168" spans="1:18" x14ac:dyDescent="0.25">
      <c r="A168" s="47">
        <v>20090106</v>
      </c>
      <c r="B168" s="48">
        <v>4699</v>
      </c>
      <c r="C168" s="48">
        <v>4735</v>
      </c>
      <c r="D168" s="48">
        <v>4638</v>
      </c>
      <c r="E168" s="48">
        <v>4706</v>
      </c>
      <c r="F168" s="49">
        <v>90227</v>
      </c>
      <c r="G168" s="58">
        <f t="shared" si="19"/>
        <v>29</v>
      </c>
      <c r="H168" s="58">
        <f t="shared" si="18"/>
        <v>7</v>
      </c>
      <c r="I168" s="71">
        <f t="shared" ca="1" si="12"/>
        <v>0</v>
      </c>
      <c r="J168" s="73">
        <f t="shared" ca="1" si="13"/>
        <v>1</v>
      </c>
      <c r="K168" s="74">
        <f t="shared" ca="1" si="14"/>
        <v>65</v>
      </c>
      <c r="L168" s="79">
        <f t="shared" ca="1" si="15"/>
        <v>952</v>
      </c>
      <c r="M168" s="63">
        <f t="shared" si="20"/>
        <v>1</v>
      </c>
      <c r="N168" s="40">
        <f ca="1">AVERAGE(M168:OFFSET(M168,-(O$5-1),0))</f>
        <v>0.6</v>
      </c>
      <c r="O168" s="64">
        <f t="shared" ca="1" si="16"/>
        <v>0</v>
      </c>
      <c r="P168" s="68">
        <f ca="1">AVERAGE(E168:OFFSET(E168,-(Q$5-1),0))</f>
        <v>4490.7</v>
      </c>
      <c r="Q168" s="41">
        <f ca="1">AVERAGE(E168:OFFSET(E168,-(Q$6-1),0))</f>
        <v>4540.8500000000004</v>
      </c>
      <c r="R168" s="64">
        <f t="shared" ca="1" si="17"/>
        <v>0</v>
      </c>
    </row>
    <row r="169" spans="1:18" x14ac:dyDescent="0.25">
      <c r="A169" s="47">
        <v>20090107</v>
      </c>
      <c r="B169" s="48">
        <v>4758</v>
      </c>
      <c r="C169" s="48">
        <v>4802</v>
      </c>
      <c r="D169" s="48">
        <v>4711</v>
      </c>
      <c r="E169" s="48">
        <v>4752</v>
      </c>
      <c r="F169" s="49">
        <v>90777</v>
      </c>
      <c r="G169" s="58">
        <f t="shared" si="19"/>
        <v>52</v>
      </c>
      <c r="H169" s="58">
        <f t="shared" si="18"/>
        <v>-6</v>
      </c>
      <c r="I169" s="71">
        <f t="shared" ca="1" si="12"/>
        <v>0</v>
      </c>
      <c r="J169" s="73">
        <f t="shared" ca="1" si="13"/>
        <v>1</v>
      </c>
      <c r="K169" s="74">
        <f t="shared" ca="1" si="14"/>
        <v>46</v>
      </c>
      <c r="L169" s="79">
        <f t="shared" ca="1" si="15"/>
        <v>998</v>
      </c>
      <c r="M169" s="63">
        <f t="shared" si="20"/>
        <v>1</v>
      </c>
      <c r="N169" s="40">
        <f ca="1">AVERAGE(M169:OFFSET(M169,-(O$5-1),0))</f>
        <v>0.6</v>
      </c>
      <c r="O169" s="64">
        <f t="shared" ca="1" si="16"/>
        <v>0</v>
      </c>
      <c r="P169" s="68">
        <f ca="1">AVERAGE(E169:OFFSET(E169,-(Q$5-1),0))</f>
        <v>4513</v>
      </c>
      <c r="Q169" s="41">
        <f ca="1">AVERAGE(E169:OFFSET(E169,-(Q$6-1),0))</f>
        <v>4554.8999999999996</v>
      </c>
      <c r="R169" s="64">
        <f t="shared" ca="1" si="17"/>
        <v>0</v>
      </c>
    </row>
    <row r="170" spans="1:18" x14ac:dyDescent="0.25">
      <c r="A170" s="47">
        <v>20090108</v>
      </c>
      <c r="B170" s="48">
        <v>4650</v>
      </c>
      <c r="C170" s="48">
        <v>4650</v>
      </c>
      <c r="D170" s="48">
        <v>4434</v>
      </c>
      <c r="E170" s="48">
        <v>4452</v>
      </c>
      <c r="F170" s="49">
        <v>95219</v>
      </c>
      <c r="G170" s="58">
        <f t="shared" si="19"/>
        <v>-102</v>
      </c>
      <c r="H170" s="58">
        <f t="shared" si="18"/>
        <v>-198</v>
      </c>
      <c r="I170" s="71">
        <f t="shared" ca="1" si="12"/>
        <v>0</v>
      </c>
      <c r="J170" s="73">
        <f t="shared" ca="1" si="13"/>
        <v>1</v>
      </c>
      <c r="K170" s="74">
        <f t="shared" ca="1" si="14"/>
        <v>-300</v>
      </c>
      <c r="L170" s="79">
        <f t="shared" ca="1" si="15"/>
        <v>698</v>
      </c>
      <c r="M170" s="63">
        <f t="shared" si="20"/>
        <v>0</v>
      </c>
      <c r="N170" s="40">
        <f ca="1">AVERAGE(M170:OFFSET(M170,-(O$5-1),0))</f>
        <v>0.6</v>
      </c>
      <c r="O170" s="64">
        <f t="shared" ca="1" si="16"/>
        <v>0</v>
      </c>
      <c r="P170" s="68">
        <f ca="1">AVERAGE(E170:OFFSET(E170,-(Q$5-1),0))</f>
        <v>4523.3</v>
      </c>
      <c r="Q170" s="41">
        <f ca="1">AVERAGE(E170:OFFSET(E170,-(Q$6-1),0))</f>
        <v>4554.5</v>
      </c>
      <c r="R170" s="64">
        <f t="shared" ca="1" si="17"/>
        <v>0</v>
      </c>
    </row>
    <row r="171" spans="1:18" x14ac:dyDescent="0.25">
      <c r="A171" s="47">
        <v>20090109</v>
      </c>
      <c r="B171" s="48">
        <v>4447</v>
      </c>
      <c r="C171" s="48">
        <v>4495</v>
      </c>
      <c r="D171" s="48">
        <v>4405</v>
      </c>
      <c r="E171" s="48">
        <v>4421</v>
      </c>
      <c r="F171" s="49">
        <v>90292</v>
      </c>
      <c r="G171" s="58">
        <f t="shared" si="19"/>
        <v>-5</v>
      </c>
      <c r="H171" s="58">
        <f t="shared" si="18"/>
        <v>-26</v>
      </c>
      <c r="I171" s="71">
        <f t="shared" ca="1" si="12"/>
        <v>0</v>
      </c>
      <c r="J171" s="73">
        <f t="shared" ca="1" si="13"/>
        <v>1</v>
      </c>
      <c r="K171" s="74">
        <f t="shared" ca="1" si="14"/>
        <v>-31</v>
      </c>
      <c r="L171" s="79">
        <f t="shared" ca="1" si="15"/>
        <v>667</v>
      </c>
      <c r="M171" s="63">
        <f t="shared" si="20"/>
        <v>0</v>
      </c>
      <c r="N171" s="40">
        <f ca="1">AVERAGE(M171:OFFSET(M171,-(O$5-1),0))</f>
        <v>0.53333333333333333</v>
      </c>
      <c r="O171" s="64">
        <f t="shared" ca="1" si="16"/>
        <v>0</v>
      </c>
      <c r="P171" s="68">
        <f ca="1">AVERAGE(E171:OFFSET(E171,-(Q$5-1),0))</f>
        <v>4527.5</v>
      </c>
      <c r="Q171" s="41">
        <f ca="1">AVERAGE(E171:OFFSET(E171,-(Q$6-1),0))</f>
        <v>4541</v>
      </c>
      <c r="R171" s="64">
        <f t="shared" ca="1" si="17"/>
        <v>0</v>
      </c>
    </row>
    <row r="172" spans="1:18" x14ac:dyDescent="0.25">
      <c r="A172" s="47">
        <v>20090110</v>
      </c>
      <c r="B172" s="48">
        <v>4362</v>
      </c>
      <c r="C172" s="48">
        <v>4425</v>
      </c>
      <c r="D172" s="48">
        <v>4344</v>
      </c>
      <c r="E172" s="48">
        <v>4374</v>
      </c>
      <c r="F172" s="49">
        <v>56091</v>
      </c>
      <c r="G172" s="58">
        <f t="shared" si="19"/>
        <v>-59</v>
      </c>
      <c r="H172" s="58">
        <f t="shared" si="18"/>
        <v>12</v>
      </c>
      <c r="I172" s="71">
        <f t="shared" ca="1" si="12"/>
        <v>0</v>
      </c>
      <c r="J172" s="73">
        <f t="shared" ca="1" si="13"/>
        <v>1</v>
      </c>
      <c r="K172" s="74">
        <f t="shared" ca="1" si="14"/>
        <v>-47</v>
      </c>
      <c r="L172" s="79">
        <f t="shared" ca="1" si="15"/>
        <v>620</v>
      </c>
      <c r="M172" s="63">
        <f t="shared" si="20"/>
        <v>0</v>
      </c>
      <c r="N172" s="40">
        <f ca="1">AVERAGE(M172:OFFSET(M172,-(O$5-1),0))</f>
        <v>0.46666666666666667</v>
      </c>
      <c r="O172" s="64">
        <f t="shared" ca="1" si="16"/>
        <v>0</v>
      </c>
      <c r="P172" s="68">
        <f ca="1">AVERAGE(E172:OFFSET(E172,-(Q$5-1),0))</f>
        <v>4524.3999999999996</v>
      </c>
      <c r="Q172" s="41">
        <f ca="1">AVERAGE(E172:OFFSET(E172,-(Q$6-1),0))</f>
        <v>4526.3999999999996</v>
      </c>
      <c r="R172" s="64">
        <f t="shared" ca="1" si="17"/>
        <v>0</v>
      </c>
    </row>
    <row r="173" spans="1:18" x14ac:dyDescent="0.25">
      <c r="A173" s="47">
        <v>20090112</v>
      </c>
      <c r="B173" s="48">
        <v>4386</v>
      </c>
      <c r="C173" s="48">
        <v>4472</v>
      </c>
      <c r="D173" s="48">
        <v>4350</v>
      </c>
      <c r="E173" s="48">
        <v>4429</v>
      </c>
      <c r="F173" s="49">
        <v>93169</v>
      </c>
      <c r="G173" s="58">
        <f t="shared" si="19"/>
        <v>12</v>
      </c>
      <c r="H173" s="58">
        <f t="shared" si="18"/>
        <v>43</v>
      </c>
      <c r="I173" s="71">
        <f t="shared" ca="1" si="12"/>
        <v>1</v>
      </c>
      <c r="J173" s="73">
        <f t="shared" ca="1" si="13"/>
        <v>1</v>
      </c>
      <c r="K173" s="74">
        <f t="shared" ca="1" si="14"/>
        <v>55</v>
      </c>
      <c r="L173" s="79">
        <f t="shared" ca="1" si="15"/>
        <v>675</v>
      </c>
      <c r="M173" s="63">
        <f t="shared" si="20"/>
        <v>1</v>
      </c>
      <c r="N173" s="40">
        <f ca="1">AVERAGE(M173:OFFSET(M173,-(O$5-1),0))</f>
        <v>0.53333333333333333</v>
      </c>
      <c r="O173" s="64">
        <f t="shared" ca="1" si="16"/>
        <v>0</v>
      </c>
      <c r="P173" s="68">
        <f ca="1">AVERAGE(E173:OFFSET(E173,-(Q$5-1),0))</f>
        <v>4529.5</v>
      </c>
      <c r="Q173" s="41">
        <f ca="1">AVERAGE(E173:OFFSET(E173,-(Q$6-1),0))</f>
        <v>4526.6000000000004</v>
      </c>
      <c r="R173" s="64">
        <f t="shared" ca="1" si="17"/>
        <v>1</v>
      </c>
    </row>
    <row r="174" spans="1:18" x14ac:dyDescent="0.25">
      <c r="A174" s="47">
        <v>20090113</v>
      </c>
      <c r="B174" s="48">
        <v>4361</v>
      </c>
      <c r="C174" s="48">
        <v>4524</v>
      </c>
      <c r="D174" s="48">
        <v>4360</v>
      </c>
      <c r="E174" s="48">
        <v>4518</v>
      </c>
      <c r="F174" s="49">
        <v>93060</v>
      </c>
      <c r="G174" s="58">
        <f t="shared" si="19"/>
        <v>-68</v>
      </c>
      <c r="H174" s="58">
        <f t="shared" si="18"/>
        <v>157</v>
      </c>
      <c r="I174" s="71">
        <f t="shared" ca="1" si="12"/>
        <v>0</v>
      </c>
      <c r="J174" s="73">
        <f t="shared" ca="1" si="13"/>
        <v>2</v>
      </c>
      <c r="K174" s="74">
        <f t="shared" ca="1" si="14"/>
        <v>246</v>
      </c>
      <c r="L174" s="79">
        <f t="shared" ca="1" si="15"/>
        <v>921</v>
      </c>
      <c r="M174" s="63">
        <f t="shared" si="20"/>
        <v>1</v>
      </c>
      <c r="N174" s="40">
        <f ca="1">AVERAGE(M174:OFFSET(M174,-(O$5-1),0))</f>
        <v>0.6</v>
      </c>
      <c r="O174" s="64">
        <f t="shared" ca="1" si="16"/>
        <v>0</v>
      </c>
      <c r="P174" s="68">
        <f ca="1">AVERAGE(E174:OFFSET(E174,-(Q$5-1),0))</f>
        <v>4542.7</v>
      </c>
      <c r="Q174" s="41">
        <f ca="1">AVERAGE(E174:OFFSET(E174,-(Q$6-1),0))</f>
        <v>4522</v>
      </c>
      <c r="R174" s="64">
        <f t="shared" ca="1" si="17"/>
        <v>0</v>
      </c>
    </row>
    <row r="175" spans="1:18" x14ac:dyDescent="0.25">
      <c r="A175" s="47">
        <v>20090114</v>
      </c>
      <c r="B175" s="48">
        <v>4490</v>
      </c>
      <c r="C175" s="48">
        <v>4552</v>
      </c>
      <c r="D175" s="48">
        <v>4478</v>
      </c>
      <c r="E175" s="48">
        <v>4510</v>
      </c>
      <c r="F175" s="49">
        <v>81258</v>
      </c>
      <c r="G175" s="58">
        <f t="shared" si="19"/>
        <v>-28</v>
      </c>
      <c r="H175" s="58">
        <f t="shared" si="18"/>
        <v>20</v>
      </c>
      <c r="I175" s="71">
        <f t="shared" ca="1" si="12"/>
        <v>0</v>
      </c>
      <c r="J175" s="73">
        <f t="shared" ca="1" si="13"/>
        <v>2</v>
      </c>
      <c r="K175" s="74">
        <f t="shared" ca="1" si="14"/>
        <v>-16</v>
      </c>
      <c r="L175" s="79">
        <f t="shared" ca="1" si="15"/>
        <v>905</v>
      </c>
      <c r="M175" s="63">
        <f t="shared" si="20"/>
        <v>0</v>
      </c>
      <c r="N175" s="40">
        <f ca="1">AVERAGE(M175:OFFSET(M175,-(O$5-1),0))</f>
        <v>0.6</v>
      </c>
      <c r="O175" s="64">
        <f t="shared" ca="1" si="16"/>
        <v>0</v>
      </c>
      <c r="P175" s="68">
        <f ca="1">AVERAGE(E175:OFFSET(E175,-(Q$5-1),0))</f>
        <v>4537.2</v>
      </c>
      <c r="Q175" s="41">
        <f ca="1">AVERAGE(E175:OFFSET(E175,-(Q$6-1),0))</f>
        <v>4518.25</v>
      </c>
      <c r="R175" s="64">
        <f t="shared" ca="1" si="17"/>
        <v>0</v>
      </c>
    </row>
    <row r="176" spans="1:18" x14ac:dyDescent="0.25">
      <c r="A176" s="47">
        <v>20090115</v>
      </c>
      <c r="B176" s="48">
        <v>4222</v>
      </c>
      <c r="C176" s="48">
        <v>4300</v>
      </c>
      <c r="D176" s="48">
        <v>4222</v>
      </c>
      <c r="E176" s="48">
        <v>4239</v>
      </c>
      <c r="F176" s="49">
        <v>74394</v>
      </c>
      <c r="G176" s="58">
        <f t="shared" si="19"/>
        <v>-288</v>
      </c>
      <c r="H176" s="58">
        <f t="shared" si="18"/>
        <v>17</v>
      </c>
      <c r="I176" s="71">
        <f t="shared" ca="1" si="12"/>
        <v>0</v>
      </c>
      <c r="J176" s="73">
        <f t="shared" ca="1" si="13"/>
        <v>2</v>
      </c>
      <c r="K176" s="74">
        <f t="shared" ca="1" si="14"/>
        <v>-542</v>
      </c>
      <c r="L176" s="79">
        <f t="shared" ca="1" si="15"/>
        <v>363</v>
      </c>
      <c r="M176" s="63">
        <f t="shared" si="20"/>
        <v>0</v>
      </c>
      <c r="N176" s="40">
        <f ca="1">AVERAGE(M176:OFFSET(M176,-(O$5-1),0))</f>
        <v>0.53333333333333333</v>
      </c>
      <c r="O176" s="64">
        <f t="shared" ca="1" si="16"/>
        <v>0</v>
      </c>
      <c r="P176" s="68">
        <f ca="1">AVERAGE(E176:OFFSET(E176,-(Q$5-1),0))</f>
        <v>4507.1000000000004</v>
      </c>
      <c r="Q176" s="41">
        <f ca="1">AVERAGE(E176:OFFSET(E176,-(Q$6-1),0))</f>
        <v>4499.05</v>
      </c>
      <c r="R176" s="64">
        <f t="shared" ca="1" si="17"/>
        <v>0</v>
      </c>
    </row>
    <row r="177" spans="1:18" x14ac:dyDescent="0.25">
      <c r="A177" s="47">
        <v>20090116</v>
      </c>
      <c r="B177" s="48">
        <v>4277</v>
      </c>
      <c r="C177" s="48">
        <v>4329</v>
      </c>
      <c r="D177" s="48">
        <v>4250</v>
      </c>
      <c r="E177" s="48">
        <v>4323</v>
      </c>
      <c r="F177" s="49">
        <v>76692</v>
      </c>
      <c r="G177" s="58">
        <f t="shared" si="19"/>
        <v>38</v>
      </c>
      <c r="H177" s="58">
        <f t="shared" si="18"/>
        <v>46</v>
      </c>
      <c r="I177" s="71">
        <f t="shared" ca="1" si="12"/>
        <v>-1</v>
      </c>
      <c r="J177" s="73">
        <f t="shared" ca="1" si="13"/>
        <v>2</v>
      </c>
      <c r="K177" s="74">
        <f t="shared" ca="1" si="14"/>
        <v>168</v>
      </c>
      <c r="L177" s="79">
        <f t="shared" ca="1" si="15"/>
        <v>531</v>
      </c>
      <c r="M177" s="63">
        <f t="shared" si="20"/>
        <v>1</v>
      </c>
      <c r="N177" s="40">
        <f ca="1">AVERAGE(M177:OFFSET(M177,-(O$5-1),0))</f>
        <v>0.53333333333333333</v>
      </c>
      <c r="O177" s="64">
        <f t="shared" ca="1" si="16"/>
        <v>0</v>
      </c>
      <c r="P177" s="68">
        <f ca="1">AVERAGE(E177:OFFSET(E177,-(Q$5-1),0))</f>
        <v>4472.3999999999996</v>
      </c>
      <c r="Q177" s="41">
        <f ca="1">AVERAGE(E177:OFFSET(E177,-(Q$6-1),0))</f>
        <v>4480.25</v>
      </c>
      <c r="R177" s="64">
        <f t="shared" ca="1" si="17"/>
        <v>-1</v>
      </c>
    </row>
    <row r="178" spans="1:18" x14ac:dyDescent="0.25">
      <c r="A178" s="47">
        <v>20090117</v>
      </c>
      <c r="B178" s="48">
        <v>4330</v>
      </c>
      <c r="C178" s="48">
        <v>4358</v>
      </c>
      <c r="D178" s="48">
        <v>4306</v>
      </c>
      <c r="E178" s="48">
        <v>4349</v>
      </c>
      <c r="F178" s="49">
        <v>38280</v>
      </c>
      <c r="G178" s="58">
        <f t="shared" si="19"/>
        <v>7</v>
      </c>
      <c r="H178" s="58">
        <f t="shared" si="18"/>
        <v>19</v>
      </c>
      <c r="I178" s="71">
        <f t="shared" ca="1" si="12"/>
        <v>0</v>
      </c>
      <c r="J178" s="73">
        <f t="shared" ca="1" si="13"/>
        <v>1</v>
      </c>
      <c r="K178" s="74">
        <f t="shared" ca="1" si="14"/>
        <v>33</v>
      </c>
      <c r="L178" s="79">
        <f t="shared" ca="1" si="15"/>
        <v>564</v>
      </c>
      <c r="M178" s="63">
        <f t="shared" si="20"/>
        <v>1</v>
      </c>
      <c r="N178" s="40">
        <f ca="1">AVERAGE(M178:OFFSET(M178,-(O$5-1),0))</f>
        <v>0.6</v>
      </c>
      <c r="O178" s="64">
        <f t="shared" ca="1" si="16"/>
        <v>0</v>
      </c>
      <c r="P178" s="68">
        <f ca="1">AVERAGE(E178:OFFSET(E178,-(Q$5-1),0))</f>
        <v>4436.7</v>
      </c>
      <c r="Q178" s="41">
        <f ca="1">AVERAGE(E178:OFFSET(E178,-(Q$6-1),0))</f>
        <v>4463.7</v>
      </c>
      <c r="R178" s="64">
        <f t="shared" ca="1" si="17"/>
        <v>0</v>
      </c>
    </row>
    <row r="179" spans="1:18" x14ac:dyDescent="0.25">
      <c r="A179" s="47">
        <v>20090119</v>
      </c>
      <c r="B179" s="48">
        <v>4378</v>
      </c>
      <c r="C179" s="48">
        <v>4394</v>
      </c>
      <c r="D179" s="48">
        <v>4325</v>
      </c>
      <c r="E179" s="48">
        <v>4357</v>
      </c>
      <c r="F179" s="49">
        <v>48529</v>
      </c>
      <c r="G179" s="58">
        <f t="shared" si="19"/>
        <v>29</v>
      </c>
      <c r="H179" s="58">
        <f t="shared" si="18"/>
        <v>-21</v>
      </c>
      <c r="I179" s="71">
        <f t="shared" ca="1" si="12"/>
        <v>0</v>
      </c>
      <c r="J179" s="73">
        <f t="shared" ca="1" si="13"/>
        <v>1</v>
      </c>
      <c r="K179" s="74">
        <f t="shared" ca="1" si="14"/>
        <v>8</v>
      </c>
      <c r="L179" s="79">
        <f t="shared" ca="1" si="15"/>
        <v>572</v>
      </c>
      <c r="M179" s="63">
        <f t="shared" si="20"/>
        <v>1</v>
      </c>
      <c r="N179" s="40">
        <f ca="1">AVERAGE(M179:OFFSET(M179,-(O$5-1),0))</f>
        <v>0.6</v>
      </c>
      <c r="O179" s="64">
        <f t="shared" ca="1" si="16"/>
        <v>0</v>
      </c>
      <c r="P179" s="68">
        <f ca="1">AVERAGE(E179:OFFSET(E179,-(Q$5-1),0))</f>
        <v>4397.2</v>
      </c>
      <c r="Q179" s="41">
        <f ca="1">AVERAGE(E179:OFFSET(E179,-(Q$6-1),0))</f>
        <v>4455.1000000000004</v>
      </c>
      <c r="R179" s="64">
        <f t="shared" ca="1" si="17"/>
        <v>0</v>
      </c>
    </row>
    <row r="180" spans="1:18" x14ac:dyDescent="0.25">
      <c r="A180" s="47">
        <v>20090120</v>
      </c>
      <c r="B180" s="48">
        <v>4266</v>
      </c>
      <c r="C180" s="48">
        <v>4269</v>
      </c>
      <c r="D180" s="48">
        <v>4205</v>
      </c>
      <c r="E180" s="48">
        <v>4240</v>
      </c>
      <c r="F180" s="49">
        <v>43414</v>
      </c>
      <c r="G180" s="58">
        <f t="shared" si="19"/>
        <v>-91</v>
      </c>
      <c r="H180" s="58">
        <f t="shared" si="18"/>
        <v>-26</v>
      </c>
      <c r="I180" s="71">
        <f t="shared" ca="1" si="12"/>
        <v>0</v>
      </c>
      <c r="J180" s="73">
        <f t="shared" ca="1" si="13"/>
        <v>1</v>
      </c>
      <c r="K180" s="74">
        <f t="shared" ca="1" si="14"/>
        <v>-117</v>
      </c>
      <c r="L180" s="79">
        <f t="shared" ca="1" si="15"/>
        <v>455</v>
      </c>
      <c r="M180" s="63">
        <f t="shared" si="20"/>
        <v>0</v>
      </c>
      <c r="N180" s="40">
        <f ca="1">AVERAGE(M180:OFFSET(M180,-(O$5-1),0))</f>
        <v>0.53333333333333333</v>
      </c>
      <c r="O180" s="64">
        <f t="shared" ca="1" si="16"/>
        <v>0</v>
      </c>
      <c r="P180" s="68">
        <f ca="1">AVERAGE(E180:OFFSET(E180,-(Q$5-1),0))</f>
        <v>4376</v>
      </c>
      <c r="Q180" s="41">
        <f ca="1">AVERAGE(E180:OFFSET(E180,-(Q$6-1),0))</f>
        <v>4449.6499999999996</v>
      </c>
      <c r="R180" s="64">
        <f t="shared" ca="1" si="17"/>
        <v>0</v>
      </c>
    </row>
    <row r="181" spans="1:18" x14ac:dyDescent="0.25">
      <c r="A181" s="47">
        <v>20090121</v>
      </c>
      <c r="B181" s="48">
        <v>4052</v>
      </c>
      <c r="C181" s="48">
        <v>4170</v>
      </c>
      <c r="D181" s="48">
        <v>4033</v>
      </c>
      <c r="E181" s="48">
        <v>4132</v>
      </c>
      <c r="F181" s="49">
        <v>42861</v>
      </c>
      <c r="G181" s="58">
        <f t="shared" si="19"/>
        <v>-188</v>
      </c>
      <c r="H181" s="58">
        <f t="shared" si="18"/>
        <v>80</v>
      </c>
      <c r="I181" s="71">
        <f t="shared" ref="I181:I244" ca="1" si="21">IF(OR(O181=1,R181=1),1,IF(OR(O181=-1,R181=-1),-1,0))</f>
        <v>0</v>
      </c>
      <c r="J181" s="73">
        <f t="shared" ref="J181:J244" ca="1" si="22">IF((J180+I180)&gt;=J$5, J$5, IF((J180+I180)&lt;=J$7, J$7, J180+I180))</f>
        <v>1</v>
      </c>
      <c r="K181" s="74">
        <f t="shared" ca="1" si="14"/>
        <v>-108</v>
      </c>
      <c r="L181" s="79">
        <f t="shared" ca="1" si="15"/>
        <v>347</v>
      </c>
      <c r="M181" s="63">
        <f t="shared" si="20"/>
        <v>0</v>
      </c>
      <c r="N181" s="40">
        <f ca="1">AVERAGE(M181:OFFSET(M181,-(O$5-1),0))</f>
        <v>0.53333333333333333</v>
      </c>
      <c r="O181" s="64">
        <f t="shared" ca="1" si="16"/>
        <v>0</v>
      </c>
      <c r="P181" s="68">
        <f ca="1">AVERAGE(E181:OFFSET(E181,-(Q$5-1),0))</f>
        <v>4347.1000000000004</v>
      </c>
      <c r="Q181" s="41">
        <f ca="1">AVERAGE(E181:OFFSET(E181,-(Q$6-1),0))</f>
        <v>4437.3</v>
      </c>
      <c r="R181" s="64">
        <f t="shared" ca="1" si="17"/>
        <v>0</v>
      </c>
    </row>
    <row r="182" spans="1:18" x14ac:dyDescent="0.25">
      <c r="A182" s="47">
        <v>20090202</v>
      </c>
      <c r="B182" s="48">
        <v>4199</v>
      </c>
      <c r="C182" s="48">
        <v>4199</v>
      </c>
      <c r="D182" s="48">
        <v>4106</v>
      </c>
      <c r="E182" s="48">
        <v>4161</v>
      </c>
      <c r="F182" s="49">
        <v>50688</v>
      </c>
      <c r="G182" s="58">
        <f t="shared" si="19"/>
        <v>67</v>
      </c>
      <c r="H182" s="58">
        <f t="shared" si="18"/>
        <v>-38</v>
      </c>
      <c r="I182" s="71">
        <f t="shared" ca="1" si="21"/>
        <v>0</v>
      </c>
      <c r="J182" s="73">
        <f t="shared" ca="1" si="22"/>
        <v>1</v>
      </c>
      <c r="K182" s="74">
        <f t="shared" ref="K182:K245" ca="1" si="23">J181*G182+J182*H182</f>
        <v>29</v>
      </c>
      <c r="L182" s="79">
        <f t="shared" ref="L182:L245" ca="1" si="24">L181+K182</f>
        <v>376</v>
      </c>
      <c r="M182" s="63">
        <f t="shared" si="20"/>
        <v>1</v>
      </c>
      <c r="N182" s="40">
        <f ca="1">AVERAGE(M182:OFFSET(M182,-(O$5-1),0))</f>
        <v>0.53333333333333333</v>
      </c>
      <c r="O182" s="64">
        <f t="shared" ref="O182:O245" ca="1" si="25">IF(N182&lt;=O$6, 1, IF(N182&gt;=O$7,-1, 0))</f>
        <v>0</v>
      </c>
      <c r="P182" s="68">
        <f ca="1">AVERAGE(E182:OFFSET(E182,-(Q$5-1),0))</f>
        <v>4325.8</v>
      </c>
      <c r="Q182" s="41">
        <f ca="1">AVERAGE(E182:OFFSET(E182,-(Q$6-1),0))</f>
        <v>4425.1000000000004</v>
      </c>
      <c r="R182" s="64">
        <f t="shared" ref="R182:R245" ca="1" si="26">IF(AND(P181&lt;=Q181,P182&gt;Q182),1,IF(AND(P181&gt;=Q181,P182&lt;Q182),-1,0))</f>
        <v>0</v>
      </c>
    </row>
    <row r="183" spans="1:18" x14ac:dyDescent="0.25">
      <c r="A183" s="47">
        <v>20090203</v>
      </c>
      <c r="B183" s="48">
        <v>4168</v>
      </c>
      <c r="C183" s="48">
        <v>4328</v>
      </c>
      <c r="D183" s="48">
        <v>4161</v>
      </c>
      <c r="E183" s="48">
        <v>4275</v>
      </c>
      <c r="F183" s="49">
        <v>77589</v>
      </c>
      <c r="G183" s="58">
        <f t="shared" si="19"/>
        <v>7</v>
      </c>
      <c r="H183" s="58">
        <f t="shared" si="18"/>
        <v>107</v>
      </c>
      <c r="I183" s="71">
        <f t="shared" ca="1" si="21"/>
        <v>0</v>
      </c>
      <c r="J183" s="73">
        <f t="shared" ca="1" si="22"/>
        <v>1</v>
      </c>
      <c r="K183" s="74">
        <f t="shared" ca="1" si="23"/>
        <v>114</v>
      </c>
      <c r="L183" s="79">
        <f t="shared" ca="1" si="24"/>
        <v>490</v>
      </c>
      <c r="M183" s="63">
        <f t="shared" si="20"/>
        <v>1</v>
      </c>
      <c r="N183" s="40">
        <f ca="1">AVERAGE(M183:OFFSET(M183,-(O$5-1),0))</f>
        <v>0.53333333333333333</v>
      </c>
      <c r="O183" s="64">
        <f t="shared" ca="1" si="25"/>
        <v>0</v>
      </c>
      <c r="P183" s="68">
        <f ca="1">AVERAGE(E183:OFFSET(E183,-(Q$5-1),0))</f>
        <v>4310.3999999999996</v>
      </c>
      <c r="Q183" s="41">
        <f ca="1">AVERAGE(E183:OFFSET(E183,-(Q$6-1),0))</f>
        <v>4419.95</v>
      </c>
      <c r="R183" s="64">
        <f t="shared" ca="1" si="26"/>
        <v>0</v>
      </c>
    </row>
    <row r="184" spans="1:18" x14ac:dyDescent="0.25">
      <c r="A184" s="47">
        <v>20090204</v>
      </c>
      <c r="B184" s="48">
        <v>4327</v>
      </c>
      <c r="C184" s="48">
        <v>4375</v>
      </c>
      <c r="D184" s="48">
        <v>4285</v>
      </c>
      <c r="E184" s="48">
        <v>4351</v>
      </c>
      <c r="F184" s="49">
        <v>68218</v>
      </c>
      <c r="G184" s="58">
        <f t="shared" si="19"/>
        <v>52</v>
      </c>
      <c r="H184" s="58">
        <f t="shared" si="18"/>
        <v>24</v>
      </c>
      <c r="I184" s="71">
        <f t="shared" ca="1" si="21"/>
        <v>0</v>
      </c>
      <c r="J184" s="73">
        <f t="shared" ca="1" si="22"/>
        <v>1</v>
      </c>
      <c r="K184" s="74">
        <f t="shared" ca="1" si="23"/>
        <v>76</v>
      </c>
      <c r="L184" s="79">
        <f t="shared" ca="1" si="24"/>
        <v>566</v>
      </c>
      <c r="M184" s="63">
        <f t="shared" si="20"/>
        <v>1</v>
      </c>
      <c r="N184" s="40">
        <f ca="1">AVERAGE(M184:OFFSET(M184,-(O$5-1),0))</f>
        <v>0.53333333333333333</v>
      </c>
      <c r="O184" s="64">
        <f t="shared" ca="1" si="25"/>
        <v>0</v>
      </c>
      <c r="P184" s="68">
        <f ca="1">AVERAGE(E184:OFFSET(E184,-(Q$5-1),0))</f>
        <v>4293.7</v>
      </c>
      <c r="Q184" s="41">
        <f ca="1">AVERAGE(E184:OFFSET(E184,-(Q$6-1),0))</f>
        <v>4418.2</v>
      </c>
      <c r="R184" s="64">
        <f t="shared" ca="1" si="26"/>
        <v>0</v>
      </c>
    </row>
    <row r="185" spans="1:18" x14ac:dyDescent="0.25">
      <c r="A185" s="47">
        <v>20090205</v>
      </c>
      <c r="B185" s="48">
        <v>4315</v>
      </c>
      <c r="C185" s="48">
        <v>4389</v>
      </c>
      <c r="D185" s="48">
        <v>4269</v>
      </c>
      <c r="E185" s="48">
        <v>4270</v>
      </c>
      <c r="F185" s="49">
        <v>82296</v>
      </c>
      <c r="G185" s="58">
        <f t="shared" si="19"/>
        <v>-36</v>
      </c>
      <c r="H185" s="58">
        <f t="shared" si="18"/>
        <v>-45</v>
      </c>
      <c r="I185" s="71">
        <f t="shared" ca="1" si="21"/>
        <v>0</v>
      </c>
      <c r="J185" s="73">
        <f t="shared" ca="1" si="22"/>
        <v>1</v>
      </c>
      <c r="K185" s="74">
        <f t="shared" ca="1" si="23"/>
        <v>-81</v>
      </c>
      <c r="L185" s="79">
        <f t="shared" ca="1" si="24"/>
        <v>485</v>
      </c>
      <c r="M185" s="63">
        <f t="shared" si="20"/>
        <v>0</v>
      </c>
      <c r="N185" s="40">
        <f ca="1">AVERAGE(M185:OFFSET(M185,-(O$5-1),0))</f>
        <v>0.53333333333333333</v>
      </c>
      <c r="O185" s="64">
        <f t="shared" ca="1" si="25"/>
        <v>0</v>
      </c>
      <c r="P185" s="68">
        <f ca="1">AVERAGE(E185:OFFSET(E185,-(Q$5-1),0))</f>
        <v>4269.7</v>
      </c>
      <c r="Q185" s="41">
        <f ca="1">AVERAGE(E185:OFFSET(E185,-(Q$6-1),0))</f>
        <v>4403.45</v>
      </c>
      <c r="R185" s="64">
        <f t="shared" ca="1" si="26"/>
        <v>0</v>
      </c>
    </row>
    <row r="186" spans="1:18" x14ac:dyDescent="0.25">
      <c r="A186" s="47">
        <v>20090206</v>
      </c>
      <c r="B186" s="48">
        <v>4362</v>
      </c>
      <c r="C186" s="48">
        <v>4479</v>
      </c>
      <c r="D186" s="48">
        <v>4356</v>
      </c>
      <c r="E186" s="48">
        <v>4443</v>
      </c>
      <c r="F186" s="49">
        <v>94505</v>
      </c>
      <c r="G186" s="58">
        <f t="shared" si="19"/>
        <v>92</v>
      </c>
      <c r="H186" s="58">
        <f t="shared" si="18"/>
        <v>81</v>
      </c>
      <c r="I186" s="71">
        <f t="shared" ca="1" si="21"/>
        <v>0</v>
      </c>
      <c r="J186" s="73">
        <f t="shared" ca="1" si="22"/>
        <v>1</v>
      </c>
      <c r="K186" s="74">
        <f t="shared" ca="1" si="23"/>
        <v>173</v>
      </c>
      <c r="L186" s="79">
        <f t="shared" ca="1" si="24"/>
        <v>658</v>
      </c>
      <c r="M186" s="63">
        <f t="shared" si="20"/>
        <v>1</v>
      </c>
      <c r="N186" s="40">
        <f ca="1">AVERAGE(M186:OFFSET(M186,-(O$5-1),0))</f>
        <v>0.6</v>
      </c>
      <c r="O186" s="64">
        <f t="shared" ca="1" si="25"/>
        <v>0</v>
      </c>
      <c r="P186" s="68">
        <f ca="1">AVERAGE(E186:OFFSET(E186,-(Q$5-1),0))</f>
        <v>4290.1000000000004</v>
      </c>
      <c r="Q186" s="41">
        <f ca="1">AVERAGE(E186:OFFSET(E186,-(Q$6-1),0))</f>
        <v>4398.6000000000004</v>
      </c>
      <c r="R186" s="64">
        <f t="shared" ca="1" si="26"/>
        <v>0</v>
      </c>
    </row>
    <row r="187" spans="1:18" x14ac:dyDescent="0.25">
      <c r="A187" s="47">
        <v>20090209</v>
      </c>
      <c r="B187" s="48">
        <v>4500</v>
      </c>
      <c r="C187" s="48">
        <v>4522</v>
      </c>
      <c r="D187" s="48">
        <v>4425</v>
      </c>
      <c r="E187" s="48">
        <v>4456</v>
      </c>
      <c r="F187" s="49">
        <v>71142</v>
      </c>
      <c r="G187" s="58">
        <f t="shared" si="19"/>
        <v>57</v>
      </c>
      <c r="H187" s="58">
        <f t="shared" si="18"/>
        <v>-44</v>
      </c>
      <c r="I187" s="71">
        <f t="shared" ca="1" si="21"/>
        <v>0</v>
      </c>
      <c r="J187" s="73">
        <f t="shared" ca="1" si="22"/>
        <v>1</v>
      </c>
      <c r="K187" s="74">
        <f t="shared" ca="1" si="23"/>
        <v>13</v>
      </c>
      <c r="L187" s="79">
        <f t="shared" ca="1" si="24"/>
        <v>671</v>
      </c>
      <c r="M187" s="63">
        <f t="shared" si="20"/>
        <v>1</v>
      </c>
      <c r="N187" s="40">
        <f ca="1">AVERAGE(M187:OFFSET(M187,-(O$5-1),0))</f>
        <v>0.66666666666666663</v>
      </c>
      <c r="O187" s="64">
        <f t="shared" ca="1" si="25"/>
        <v>0</v>
      </c>
      <c r="P187" s="68">
        <f ca="1">AVERAGE(E187:OFFSET(E187,-(Q$5-1),0))</f>
        <v>4303.3999999999996</v>
      </c>
      <c r="Q187" s="41">
        <f ca="1">AVERAGE(E187:OFFSET(E187,-(Q$6-1),0))</f>
        <v>4387.8999999999996</v>
      </c>
      <c r="R187" s="64">
        <f t="shared" ca="1" si="26"/>
        <v>0</v>
      </c>
    </row>
    <row r="188" spans="1:18" x14ac:dyDescent="0.25">
      <c r="A188" s="47">
        <v>20090210</v>
      </c>
      <c r="B188" s="48">
        <v>4456</v>
      </c>
      <c r="C188" s="48">
        <v>4499</v>
      </c>
      <c r="D188" s="48">
        <v>4435</v>
      </c>
      <c r="E188" s="48">
        <v>4497</v>
      </c>
      <c r="F188" s="49">
        <v>60156</v>
      </c>
      <c r="G188" s="58">
        <f t="shared" si="19"/>
        <v>0</v>
      </c>
      <c r="H188" s="58">
        <f t="shared" si="18"/>
        <v>41</v>
      </c>
      <c r="I188" s="71">
        <f t="shared" ca="1" si="21"/>
        <v>0</v>
      </c>
      <c r="J188" s="73">
        <f t="shared" ca="1" si="22"/>
        <v>1</v>
      </c>
      <c r="K188" s="74">
        <f t="shared" ca="1" si="23"/>
        <v>41</v>
      </c>
      <c r="L188" s="79">
        <f t="shared" ca="1" si="24"/>
        <v>712</v>
      </c>
      <c r="M188" s="63">
        <f t="shared" si="20"/>
        <v>1</v>
      </c>
      <c r="N188" s="40">
        <f ca="1">AVERAGE(M188:OFFSET(M188,-(O$5-1),0))</f>
        <v>0.66666666666666663</v>
      </c>
      <c r="O188" s="64">
        <f t="shared" ca="1" si="25"/>
        <v>0</v>
      </c>
      <c r="P188" s="68">
        <f ca="1">AVERAGE(E188:OFFSET(E188,-(Q$5-1),0))</f>
        <v>4318.2</v>
      </c>
      <c r="Q188" s="41">
        <f ca="1">AVERAGE(E188:OFFSET(E188,-(Q$6-1),0))</f>
        <v>4377.45</v>
      </c>
      <c r="R188" s="64">
        <f t="shared" ca="1" si="26"/>
        <v>0</v>
      </c>
    </row>
    <row r="189" spans="1:18" x14ac:dyDescent="0.25">
      <c r="A189" s="47">
        <v>20090211</v>
      </c>
      <c r="B189" s="48">
        <v>4385</v>
      </c>
      <c r="C189" s="48">
        <v>4578</v>
      </c>
      <c r="D189" s="48">
        <v>4372</v>
      </c>
      <c r="E189" s="48">
        <v>4558</v>
      </c>
      <c r="F189" s="49">
        <v>90722</v>
      </c>
      <c r="G189" s="58">
        <f t="shared" si="19"/>
        <v>-112</v>
      </c>
      <c r="H189" s="58">
        <f t="shared" si="18"/>
        <v>173</v>
      </c>
      <c r="I189" s="71">
        <f t="shared" ca="1" si="21"/>
        <v>0</v>
      </c>
      <c r="J189" s="73">
        <f t="shared" ca="1" si="22"/>
        <v>1</v>
      </c>
      <c r="K189" s="74">
        <f t="shared" ca="1" si="23"/>
        <v>61</v>
      </c>
      <c r="L189" s="79">
        <f t="shared" ca="1" si="24"/>
        <v>773</v>
      </c>
      <c r="M189" s="63">
        <f t="shared" si="20"/>
        <v>1</v>
      </c>
      <c r="N189" s="40">
        <f ca="1">AVERAGE(M189:OFFSET(M189,-(O$5-1),0))</f>
        <v>0.66666666666666663</v>
      </c>
      <c r="O189" s="64">
        <f t="shared" ca="1" si="25"/>
        <v>0</v>
      </c>
      <c r="P189" s="68">
        <f ca="1">AVERAGE(E189:OFFSET(E189,-(Q$5-1),0))</f>
        <v>4338.3</v>
      </c>
      <c r="Q189" s="41">
        <f ca="1">AVERAGE(E189:OFFSET(E189,-(Q$6-1),0))</f>
        <v>4367.75</v>
      </c>
      <c r="R189" s="64">
        <f t="shared" ca="1" si="26"/>
        <v>0</v>
      </c>
    </row>
    <row r="190" spans="1:18" x14ac:dyDescent="0.25">
      <c r="A190" s="47">
        <v>20090212</v>
      </c>
      <c r="B190" s="48">
        <v>4520</v>
      </c>
      <c r="C190" s="48">
        <v>4564</v>
      </c>
      <c r="D190" s="48">
        <v>4398</v>
      </c>
      <c r="E190" s="48">
        <v>4445</v>
      </c>
      <c r="F190" s="49">
        <v>112010</v>
      </c>
      <c r="G190" s="58">
        <f t="shared" si="19"/>
        <v>-38</v>
      </c>
      <c r="H190" s="58">
        <f t="shared" si="18"/>
        <v>-75</v>
      </c>
      <c r="I190" s="71">
        <f t="shared" ca="1" si="21"/>
        <v>0</v>
      </c>
      <c r="J190" s="73">
        <f t="shared" ca="1" si="22"/>
        <v>1</v>
      </c>
      <c r="K190" s="74">
        <f t="shared" ca="1" si="23"/>
        <v>-113</v>
      </c>
      <c r="L190" s="79">
        <f t="shared" ca="1" si="24"/>
        <v>660</v>
      </c>
      <c r="M190" s="63">
        <f t="shared" si="20"/>
        <v>0</v>
      </c>
      <c r="N190" s="40">
        <f ca="1">AVERAGE(M190:OFFSET(M190,-(O$5-1),0))</f>
        <v>0.66666666666666663</v>
      </c>
      <c r="O190" s="64">
        <f t="shared" ca="1" si="25"/>
        <v>0</v>
      </c>
      <c r="P190" s="68">
        <f ca="1">AVERAGE(E190:OFFSET(E190,-(Q$5-1),0))</f>
        <v>4358.8</v>
      </c>
      <c r="Q190" s="41">
        <f ca="1">AVERAGE(E190:OFFSET(E190,-(Q$6-1),0))</f>
        <v>4367.3999999999996</v>
      </c>
      <c r="R190" s="64">
        <f t="shared" ca="1" si="26"/>
        <v>0</v>
      </c>
    </row>
    <row r="191" spans="1:18" x14ac:dyDescent="0.25">
      <c r="A191" s="47">
        <v>20090213</v>
      </c>
      <c r="B191" s="48">
        <v>4459</v>
      </c>
      <c r="C191" s="48">
        <v>4590</v>
      </c>
      <c r="D191" s="48">
        <v>4451</v>
      </c>
      <c r="E191" s="48">
        <v>4571</v>
      </c>
      <c r="F191" s="49">
        <v>104666</v>
      </c>
      <c r="G191" s="58">
        <f t="shared" si="19"/>
        <v>14</v>
      </c>
      <c r="H191" s="58">
        <f t="shared" si="18"/>
        <v>112</v>
      </c>
      <c r="I191" s="71">
        <f t="shared" ca="1" si="21"/>
        <v>1</v>
      </c>
      <c r="J191" s="73">
        <f t="shared" ca="1" si="22"/>
        <v>1</v>
      </c>
      <c r="K191" s="74">
        <f t="shared" ca="1" si="23"/>
        <v>126</v>
      </c>
      <c r="L191" s="79">
        <f t="shared" ca="1" si="24"/>
        <v>786</v>
      </c>
      <c r="M191" s="63">
        <f t="shared" si="20"/>
        <v>1</v>
      </c>
      <c r="N191" s="40">
        <f ca="1">AVERAGE(M191:OFFSET(M191,-(O$5-1),0))</f>
        <v>0.73333333333333328</v>
      </c>
      <c r="O191" s="64">
        <f t="shared" ca="1" si="25"/>
        <v>0</v>
      </c>
      <c r="P191" s="68">
        <f ca="1">AVERAGE(E191:OFFSET(E191,-(Q$5-1),0))</f>
        <v>4402.7</v>
      </c>
      <c r="Q191" s="41">
        <f ca="1">AVERAGE(E191:OFFSET(E191,-(Q$6-1),0))</f>
        <v>4374.8999999999996</v>
      </c>
      <c r="R191" s="64">
        <f t="shared" ca="1" si="26"/>
        <v>1</v>
      </c>
    </row>
    <row r="192" spans="1:18" x14ac:dyDescent="0.25">
      <c r="A192" s="47">
        <v>20090216</v>
      </c>
      <c r="B192" s="48">
        <v>4569</v>
      </c>
      <c r="C192" s="48">
        <v>4588</v>
      </c>
      <c r="D192" s="48">
        <v>4534</v>
      </c>
      <c r="E192" s="48">
        <v>4575</v>
      </c>
      <c r="F192" s="49">
        <v>64270</v>
      </c>
      <c r="G192" s="58">
        <f t="shared" si="19"/>
        <v>-2</v>
      </c>
      <c r="H192" s="58">
        <f t="shared" si="18"/>
        <v>6</v>
      </c>
      <c r="I192" s="71">
        <f t="shared" ca="1" si="21"/>
        <v>0</v>
      </c>
      <c r="J192" s="73">
        <f t="shared" ca="1" si="22"/>
        <v>2</v>
      </c>
      <c r="K192" s="74">
        <f t="shared" ca="1" si="23"/>
        <v>10</v>
      </c>
      <c r="L192" s="79">
        <f t="shared" ca="1" si="24"/>
        <v>796</v>
      </c>
      <c r="M192" s="63">
        <f t="shared" si="20"/>
        <v>1</v>
      </c>
      <c r="N192" s="40">
        <f ca="1">AVERAGE(M192:OFFSET(M192,-(O$5-1),0))</f>
        <v>0.73333333333333328</v>
      </c>
      <c r="O192" s="64">
        <f t="shared" ca="1" si="25"/>
        <v>0</v>
      </c>
      <c r="P192" s="68">
        <f ca="1">AVERAGE(E192:OFFSET(E192,-(Q$5-1),0))</f>
        <v>4444.1000000000004</v>
      </c>
      <c r="Q192" s="41">
        <f ca="1">AVERAGE(E192:OFFSET(E192,-(Q$6-1),0))</f>
        <v>4384.95</v>
      </c>
      <c r="R192" s="64">
        <f t="shared" ca="1" si="26"/>
        <v>0</v>
      </c>
    </row>
    <row r="193" spans="1:18" x14ac:dyDescent="0.25">
      <c r="A193" s="47">
        <v>20090217</v>
      </c>
      <c r="B193" s="48">
        <v>4521</v>
      </c>
      <c r="C193" s="48">
        <v>4559</v>
      </c>
      <c r="D193" s="48">
        <v>4437</v>
      </c>
      <c r="E193" s="48">
        <v>4494</v>
      </c>
      <c r="F193" s="49">
        <v>80444</v>
      </c>
      <c r="G193" s="58">
        <f t="shared" si="19"/>
        <v>-54</v>
      </c>
      <c r="H193" s="58">
        <f t="shared" si="18"/>
        <v>-27</v>
      </c>
      <c r="I193" s="71">
        <f t="shared" ca="1" si="21"/>
        <v>0</v>
      </c>
      <c r="J193" s="73">
        <f t="shared" ca="1" si="22"/>
        <v>2</v>
      </c>
      <c r="K193" s="74">
        <f t="shared" ca="1" si="23"/>
        <v>-162</v>
      </c>
      <c r="L193" s="79">
        <f t="shared" ca="1" si="24"/>
        <v>634</v>
      </c>
      <c r="M193" s="63">
        <f t="shared" si="20"/>
        <v>0</v>
      </c>
      <c r="N193" s="40">
        <f ca="1">AVERAGE(M193:OFFSET(M193,-(O$5-1),0))</f>
        <v>0.66666666666666663</v>
      </c>
      <c r="O193" s="64">
        <f t="shared" ca="1" si="25"/>
        <v>0</v>
      </c>
      <c r="P193" s="68">
        <f ca="1">AVERAGE(E193:OFFSET(E193,-(Q$5-1),0))</f>
        <v>4466</v>
      </c>
      <c r="Q193" s="41">
        <f ca="1">AVERAGE(E193:OFFSET(E193,-(Q$6-1),0))</f>
        <v>4388.2</v>
      </c>
      <c r="R193" s="64">
        <f t="shared" ca="1" si="26"/>
        <v>0</v>
      </c>
    </row>
    <row r="194" spans="1:18" x14ac:dyDescent="0.25">
      <c r="A194" s="47">
        <v>20090218</v>
      </c>
      <c r="B194" s="48">
        <v>4382</v>
      </c>
      <c r="C194" s="48">
        <v>4436</v>
      </c>
      <c r="D194" s="48">
        <v>4353</v>
      </c>
      <c r="E194" s="48">
        <v>4426</v>
      </c>
      <c r="F194" s="49">
        <v>58677</v>
      </c>
      <c r="G194" s="58">
        <f t="shared" si="19"/>
        <v>-112</v>
      </c>
      <c r="H194" s="58">
        <f t="shared" si="18"/>
        <v>44</v>
      </c>
      <c r="I194" s="71">
        <f t="shared" ca="1" si="21"/>
        <v>0</v>
      </c>
      <c r="J194" s="73">
        <f t="shared" ca="1" si="22"/>
        <v>2</v>
      </c>
      <c r="K194" s="74">
        <f t="shared" ca="1" si="23"/>
        <v>-136</v>
      </c>
      <c r="L194" s="79">
        <f t="shared" ca="1" si="24"/>
        <v>498</v>
      </c>
      <c r="M194" s="63">
        <f t="shared" si="20"/>
        <v>0</v>
      </c>
      <c r="N194" s="40">
        <f ca="1">AVERAGE(M194:OFFSET(M194,-(O$5-1),0))</f>
        <v>0.6</v>
      </c>
      <c r="O194" s="64">
        <f t="shared" ca="1" si="25"/>
        <v>0</v>
      </c>
      <c r="P194" s="68">
        <f ca="1">AVERAGE(E194:OFFSET(E194,-(Q$5-1),0))</f>
        <v>4473.5</v>
      </c>
      <c r="Q194" s="41">
        <f ca="1">AVERAGE(E194:OFFSET(E194,-(Q$6-1),0))</f>
        <v>4383.6000000000004</v>
      </c>
      <c r="R194" s="64">
        <f t="shared" ca="1" si="26"/>
        <v>0</v>
      </c>
    </row>
    <row r="195" spans="1:18" x14ac:dyDescent="0.25">
      <c r="A195" s="47">
        <v>20090219</v>
      </c>
      <c r="B195" s="48">
        <v>4411</v>
      </c>
      <c r="C195" s="48">
        <v>4524</v>
      </c>
      <c r="D195" s="48">
        <v>4334</v>
      </c>
      <c r="E195" s="48">
        <v>4468</v>
      </c>
      <c r="F195" s="49">
        <v>118683</v>
      </c>
      <c r="G195" s="58">
        <f t="shared" si="19"/>
        <v>-15</v>
      </c>
      <c r="H195" s="58">
        <f t="shared" si="18"/>
        <v>57</v>
      </c>
      <c r="I195" s="71">
        <f t="shared" ca="1" si="21"/>
        <v>0</v>
      </c>
      <c r="J195" s="73">
        <f t="shared" ca="1" si="22"/>
        <v>2</v>
      </c>
      <c r="K195" s="74">
        <f t="shared" ca="1" si="23"/>
        <v>84</v>
      </c>
      <c r="L195" s="79">
        <f t="shared" ca="1" si="24"/>
        <v>582</v>
      </c>
      <c r="M195" s="63">
        <f t="shared" si="20"/>
        <v>1</v>
      </c>
      <c r="N195" s="40">
        <f ca="1">AVERAGE(M195:OFFSET(M195,-(O$5-1),0))</f>
        <v>0.66666666666666663</v>
      </c>
      <c r="O195" s="64">
        <f t="shared" ca="1" si="25"/>
        <v>0</v>
      </c>
      <c r="P195" s="68">
        <f ca="1">AVERAGE(E195:OFFSET(E195,-(Q$5-1),0))</f>
        <v>4493.3</v>
      </c>
      <c r="Q195" s="41">
        <f ca="1">AVERAGE(E195:OFFSET(E195,-(Q$6-1),0))</f>
        <v>4381.5</v>
      </c>
      <c r="R195" s="64">
        <f t="shared" ca="1" si="26"/>
        <v>0</v>
      </c>
    </row>
    <row r="196" spans="1:18" x14ac:dyDescent="0.25">
      <c r="A196" s="47">
        <v>20090220</v>
      </c>
      <c r="B196" s="48">
        <v>4405</v>
      </c>
      <c r="C196" s="48">
        <v>4453</v>
      </c>
      <c r="D196" s="48">
        <v>4345</v>
      </c>
      <c r="E196" s="48">
        <v>4363</v>
      </c>
      <c r="F196" s="49">
        <v>105134</v>
      </c>
      <c r="G196" s="58">
        <f t="shared" si="19"/>
        <v>-63</v>
      </c>
      <c r="H196" s="58">
        <f t="shared" ref="H196:H259" si="27">E196-B196</f>
        <v>-42</v>
      </c>
      <c r="I196" s="71">
        <f t="shared" ca="1" si="21"/>
        <v>0</v>
      </c>
      <c r="J196" s="73">
        <f t="shared" ca="1" si="22"/>
        <v>2</v>
      </c>
      <c r="K196" s="74">
        <f t="shared" ca="1" si="23"/>
        <v>-210</v>
      </c>
      <c r="L196" s="79">
        <f t="shared" ca="1" si="24"/>
        <v>372</v>
      </c>
      <c r="M196" s="63">
        <f t="shared" si="20"/>
        <v>0</v>
      </c>
      <c r="N196" s="40">
        <f ca="1">AVERAGE(M196:OFFSET(M196,-(O$5-1),0))</f>
        <v>0.66666666666666663</v>
      </c>
      <c r="O196" s="64">
        <f t="shared" ca="1" si="25"/>
        <v>0</v>
      </c>
      <c r="P196" s="68">
        <f ca="1">AVERAGE(E196:OFFSET(E196,-(Q$5-1),0))</f>
        <v>4485.3</v>
      </c>
      <c r="Q196" s="41">
        <f ca="1">AVERAGE(E196:OFFSET(E196,-(Q$6-1),0))</f>
        <v>4387.7</v>
      </c>
      <c r="R196" s="64">
        <f t="shared" ca="1" si="26"/>
        <v>0</v>
      </c>
    </row>
    <row r="197" spans="1:18" x14ac:dyDescent="0.25">
      <c r="A197" s="47">
        <v>20090223</v>
      </c>
      <c r="B197" s="48">
        <v>4332</v>
      </c>
      <c r="C197" s="48">
        <v>4433</v>
      </c>
      <c r="D197" s="48">
        <v>4296</v>
      </c>
      <c r="E197" s="48">
        <v>4426</v>
      </c>
      <c r="F197" s="49">
        <v>102515</v>
      </c>
      <c r="G197" s="58">
        <f t="shared" ref="G197:G260" si="28">B197-E196</f>
        <v>-31</v>
      </c>
      <c r="H197" s="58">
        <f t="shared" si="27"/>
        <v>94</v>
      </c>
      <c r="I197" s="71">
        <f t="shared" ca="1" si="21"/>
        <v>0</v>
      </c>
      <c r="J197" s="73">
        <f t="shared" ca="1" si="22"/>
        <v>2</v>
      </c>
      <c r="K197" s="74">
        <f t="shared" ca="1" si="23"/>
        <v>126</v>
      </c>
      <c r="L197" s="79">
        <f t="shared" ca="1" si="24"/>
        <v>498</v>
      </c>
      <c r="M197" s="63">
        <f t="shared" ref="M197:M260" si="29">IF(E197&gt;E196,1,0)</f>
        <v>1</v>
      </c>
      <c r="N197" s="40">
        <f ca="1">AVERAGE(M197:OFFSET(M197,-(O$5-1),0))</f>
        <v>0.66666666666666663</v>
      </c>
      <c r="O197" s="64">
        <f t="shared" ca="1" si="25"/>
        <v>0</v>
      </c>
      <c r="P197" s="68">
        <f ca="1">AVERAGE(E197:OFFSET(E197,-(Q$5-1),0))</f>
        <v>4482.3</v>
      </c>
      <c r="Q197" s="41">
        <f ca="1">AVERAGE(E197:OFFSET(E197,-(Q$6-1),0))</f>
        <v>4392.8500000000004</v>
      </c>
      <c r="R197" s="64">
        <f t="shared" ca="1" si="26"/>
        <v>0</v>
      </c>
    </row>
    <row r="198" spans="1:18" x14ac:dyDescent="0.25">
      <c r="A198" s="47">
        <v>20090224</v>
      </c>
      <c r="B198" s="48">
        <v>4327</v>
      </c>
      <c r="C198" s="48">
        <v>4395</v>
      </c>
      <c r="D198" s="48">
        <v>4313</v>
      </c>
      <c r="E198" s="48">
        <v>4381</v>
      </c>
      <c r="F198" s="49">
        <v>83683</v>
      </c>
      <c r="G198" s="58">
        <f t="shared" si="28"/>
        <v>-99</v>
      </c>
      <c r="H198" s="58">
        <f t="shared" si="27"/>
        <v>54</v>
      </c>
      <c r="I198" s="71">
        <f t="shared" ca="1" si="21"/>
        <v>0</v>
      </c>
      <c r="J198" s="73">
        <f t="shared" ca="1" si="22"/>
        <v>2</v>
      </c>
      <c r="K198" s="74">
        <f t="shared" ca="1" si="23"/>
        <v>-90</v>
      </c>
      <c r="L198" s="79">
        <f t="shared" ca="1" si="24"/>
        <v>408</v>
      </c>
      <c r="M198" s="63">
        <f t="shared" si="29"/>
        <v>0</v>
      </c>
      <c r="N198" s="40">
        <f ca="1">AVERAGE(M198:OFFSET(M198,-(O$5-1),0))</f>
        <v>0.6</v>
      </c>
      <c r="O198" s="64">
        <f t="shared" ca="1" si="25"/>
        <v>0</v>
      </c>
      <c r="P198" s="68">
        <f ca="1">AVERAGE(E198:OFFSET(E198,-(Q$5-1),0))</f>
        <v>4470.7</v>
      </c>
      <c r="Q198" s="41">
        <f ca="1">AVERAGE(E198:OFFSET(E198,-(Q$6-1),0))</f>
        <v>4394.45</v>
      </c>
      <c r="R198" s="64">
        <f t="shared" ca="1" si="26"/>
        <v>0</v>
      </c>
    </row>
    <row r="199" spans="1:18" x14ac:dyDescent="0.25">
      <c r="A199" s="47">
        <v>20090225</v>
      </c>
      <c r="B199" s="48">
        <v>4435</v>
      </c>
      <c r="C199" s="48">
        <v>4520</v>
      </c>
      <c r="D199" s="48">
        <v>4408</v>
      </c>
      <c r="E199" s="48">
        <v>4466</v>
      </c>
      <c r="F199" s="49">
        <v>104986</v>
      </c>
      <c r="G199" s="58">
        <f t="shared" si="28"/>
        <v>54</v>
      </c>
      <c r="H199" s="58">
        <f t="shared" si="27"/>
        <v>31</v>
      </c>
      <c r="I199" s="71">
        <f t="shared" ca="1" si="21"/>
        <v>0</v>
      </c>
      <c r="J199" s="73">
        <f t="shared" ca="1" si="22"/>
        <v>2</v>
      </c>
      <c r="K199" s="74">
        <f t="shared" ca="1" si="23"/>
        <v>170</v>
      </c>
      <c r="L199" s="79">
        <f t="shared" ca="1" si="24"/>
        <v>578</v>
      </c>
      <c r="M199" s="63">
        <f t="shared" si="29"/>
        <v>1</v>
      </c>
      <c r="N199" s="40">
        <f ca="1">AVERAGE(M199:OFFSET(M199,-(O$5-1),0))</f>
        <v>0.6</v>
      </c>
      <c r="O199" s="64">
        <f t="shared" ca="1" si="25"/>
        <v>0</v>
      </c>
      <c r="P199" s="68">
        <f ca="1">AVERAGE(E199:OFFSET(E199,-(Q$5-1),0))</f>
        <v>4461.5</v>
      </c>
      <c r="Q199" s="41">
        <f ca="1">AVERAGE(E199:OFFSET(E199,-(Q$6-1),0))</f>
        <v>4399.8999999999996</v>
      </c>
      <c r="R199" s="64">
        <f t="shared" ca="1" si="26"/>
        <v>0</v>
      </c>
    </row>
    <row r="200" spans="1:18" x14ac:dyDescent="0.25">
      <c r="A200" s="47">
        <v>20090226</v>
      </c>
      <c r="B200" s="48">
        <v>4520</v>
      </c>
      <c r="C200" s="48">
        <v>4538</v>
      </c>
      <c r="D200" s="48">
        <v>4440</v>
      </c>
      <c r="E200" s="48">
        <v>4477</v>
      </c>
      <c r="F200" s="49">
        <v>89413</v>
      </c>
      <c r="G200" s="58">
        <f t="shared" si="28"/>
        <v>54</v>
      </c>
      <c r="H200" s="58">
        <f t="shared" si="27"/>
        <v>-43</v>
      </c>
      <c r="I200" s="71">
        <f t="shared" ca="1" si="21"/>
        <v>0</v>
      </c>
      <c r="J200" s="73">
        <f t="shared" ca="1" si="22"/>
        <v>2</v>
      </c>
      <c r="K200" s="74">
        <f t="shared" ca="1" si="23"/>
        <v>22</v>
      </c>
      <c r="L200" s="79">
        <f t="shared" ca="1" si="24"/>
        <v>600</v>
      </c>
      <c r="M200" s="63">
        <f t="shared" si="29"/>
        <v>1</v>
      </c>
      <c r="N200" s="40">
        <f ca="1">AVERAGE(M200:OFFSET(M200,-(O$5-1),0))</f>
        <v>0.66666666666666663</v>
      </c>
      <c r="O200" s="64">
        <f t="shared" ca="1" si="25"/>
        <v>0</v>
      </c>
      <c r="P200" s="68">
        <f ca="1">AVERAGE(E200:OFFSET(E200,-(Q$5-1),0))</f>
        <v>4464.7</v>
      </c>
      <c r="Q200" s="41">
        <f ca="1">AVERAGE(E200:OFFSET(E200,-(Q$6-1),0))</f>
        <v>4411.75</v>
      </c>
      <c r="R200" s="64">
        <f t="shared" ca="1" si="26"/>
        <v>0</v>
      </c>
    </row>
    <row r="201" spans="1:18" x14ac:dyDescent="0.25">
      <c r="A201" s="47">
        <v>20090227</v>
      </c>
      <c r="B201" s="48">
        <v>4472</v>
      </c>
      <c r="C201" s="48">
        <v>4528</v>
      </c>
      <c r="D201" s="48">
        <v>4452</v>
      </c>
      <c r="E201" s="48">
        <v>4510</v>
      </c>
      <c r="F201" s="49">
        <v>73628</v>
      </c>
      <c r="G201" s="58">
        <f t="shared" si="28"/>
        <v>-5</v>
      </c>
      <c r="H201" s="58">
        <f t="shared" si="27"/>
        <v>38</v>
      </c>
      <c r="I201" s="71">
        <f t="shared" ca="1" si="21"/>
        <v>0</v>
      </c>
      <c r="J201" s="73">
        <f t="shared" ca="1" si="22"/>
        <v>2</v>
      </c>
      <c r="K201" s="74">
        <f t="shared" ca="1" si="23"/>
        <v>66</v>
      </c>
      <c r="L201" s="79">
        <f t="shared" ca="1" si="24"/>
        <v>666</v>
      </c>
      <c r="M201" s="63">
        <f t="shared" si="29"/>
        <v>1</v>
      </c>
      <c r="N201" s="40">
        <f ca="1">AVERAGE(M201:OFFSET(M201,-(O$5-1),0))</f>
        <v>0.66666666666666663</v>
      </c>
      <c r="O201" s="64">
        <f t="shared" ca="1" si="25"/>
        <v>0</v>
      </c>
      <c r="P201" s="68">
        <f ca="1">AVERAGE(E201:OFFSET(E201,-(Q$5-1),0))</f>
        <v>4458.6000000000004</v>
      </c>
      <c r="Q201" s="41">
        <f ca="1">AVERAGE(E201:OFFSET(E201,-(Q$6-1),0))</f>
        <v>4430.6499999999996</v>
      </c>
      <c r="R201" s="64">
        <f t="shared" ca="1" si="26"/>
        <v>0</v>
      </c>
    </row>
    <row r="202" spans="1:18" x14ac:dyDescent="0.25">
      <c r="A202" s="47">
        <v>20090302</v>
      </c>
      <c r="B202" s="48">
        <v>4422</v>
      </c>
      <c r="C202" s="48">
        <v>4459</v>
      </c>
      <c r="D202" s="48">
        <v>4303</v>
      </c>
      <c r="E202" s="48">
        <v>4331</v>
      </c>
      <c r="F202" s="49">
        <v>101175</v>
      </c>
      <c r="G202" s="58">
        <f t="shared" si="28"/>
        <v>-88</v>
      </c>
      <c r="H202" s="58">
        <f t="shared" si="27"/>
        <v>-91</v>
      </c>
      <c r="I202" s="71">
        <f t="shared" ca="1" si="21"/>
        <v>-1</v>
      </c>
      <c r="J202" s="73">
        <f t="shared" ca="1" si="22"/>
        <v>2</v>
      </c>
      <c r="K202" s="74">
        <f t="shared" ca="1" si="23"/>
        <v>-358</v>
      </c>
      <c r="L202" s="79">
        <f t="shared" ca="1" si="24"/>
        <v>308</v>
      </c>
      <c r="M202" s="63">
        <f t="shared" si="29"/>
        <v>0</v>
      </c>
      <c r="N202" s="40">
        <f ca="1">AVERAGE(M202:OFFSET(M202,-(O$5-1),0))</f>
        <v>0.6</v>
      </c>
      <c r="O202" s="64">
        <f t="shared" ca="1" si="25"/>
        <v>0</v>
      </c>
      <c r="P202" s="68">
        <f ca="1">AVERAGE(E202:OFFSET(E202,-(Q$5-1),0))</f>
        <v>4434.2</v>
      </c>
      <c r="Q202" s="41">
        <f ca="1">AVERAGE(E202:OFFSET(E202,-(Q$6-1),0))</f>
        <v>4439.1499999999996</v>
      </c>
      <c r="R202" s="64">
        <f t="shared" ca="1" si="26"/>
        <v>-1</v>
      </c>
    </row>
    <row r="203" spans="1:18" x14ac:dyDescent="0.25">
      <c r="A203" s="47">
        <v>20090303</v>
      </c>
      <c r="B203" s="48">
        <v>4270</v>
      </c>
      <c r="C203" s="48">
        <v>4377</v>
      </c>
      <c r="D203" s="48">
        <v>4238</v>
      </c>
      <c r="E203" s="48">
        <v>4367</v>
      </c>
      <c r="F203" s="49">
        <v>103908</v>
      </c>
      <c r="G203" s="58">
        <f t="shared" si="28"/>
        <v>-61</v>
      </c>
      <c r="H203" s="58">
        <f t="shared" si="27"/>
        <v>97</v>
      </c>
      <c r="I203" s="71">
        <f t="shared" ca="1" si="21"/>
        <v>0</v>
      </c>
      <c r="J203" s="73">
        <f t="shared" ca="1" si="22"/>
        <v>1</v>
      </c>
      <c r="K203" s="74">
        <f t="shared" ca="1" si="23"/>
        <v>-25</v>
      </c>
      <c r="L203" s="79">
        <f t="shared" ca="1" si="24"/>
        <v>283</v>
      </c>
      <c r="M203" s="63">
        <f t="shared" si="29"/>
        <v>1</v>
      </c>
      <c r="N203" s="40">
        <f ca="1">AVERAGE(M203:OFFSET(M203,-(O$5-1),0))</f>
        <v>0.6</v>
      </c>
      <c r="O203" s="64">
        <f t="shared" ca="1" si="25"/>
        <v>0</v>
      </c>
      <c r="P203" s="68">
        <f ca="1">AVERAGE(E203:OFFSET(E203,-(Q$5-1),0))</f>
        <v>4421.5</v>
      </c>
      <c r="Q203" s="41">
        <f ca="1">AVERAGE(E203:OFFSET(E203,-(Q$6-1),0))</f>
        <v>4443.75</v>
      </c>
      <c r="R203" s="64">
        <f t="shared" ca="1" si="26"/>
        <v>0</v>
      </c>
    </row>
    <row r="204" spans="1:18" x14ac:dyDescent="0.25">
      <c r="A204" s="47">
        <v>20090304</v>
      </c>
      <c r="B204" s="48">
        <v>4336</v>
      </c>
      <c r="C204" s="48">
        <v>4516</v>
      </c>
      <c r="D204" s="48">
        <v>4322</v>
      </c>
      <c r="E204" s="48">
        <v>4511</v>
      </c>
      <c r="F204" s="49">
        <v>109654</v>
      </c>
      <c r="G204" s="58">
        <f t="shared" si="28"/>
        <v>-31</v>
      </c>
      <c r="H204" s="58">
        <f t="shared" si="27"/>
        <v>175</v>
      </c>
      <c r="I204" s="71">
        <f t="shared" ca="1" si="21"/>
        <v>0</v>
      </c>
      <c r="J204" s="73">
        <f t="shared" ca="1" si="22"/>
        <v>1</v>
      </c>
      <c r="K204" s="74">
        <f t="shared" ca="1" si="23"/>
        <v>144</v>
      </c>
      <c r="L204" s="79">
        <f t="shared" ca="1" si="24"/>
        <v>427</v>
      </c>
      <c r="M204" s="63">
        <f t="shared" si="29"/>
        <v>1</v>
      </c>
      <c r="N204" s="40">
        <f ca="1">AVERAGE(M204:OFFSET(M204,-(O$5-1),0))</f>
        <v>0.6</v>
      </c>
      <c r="O204" s="64">
        <f t="shared" ca="1" si="25"/>
        <v>0</v>
      </c>
      <c r="P204" s="68">
        <f ca="1">AVERAGE(E204:OFFSET(E204,-(Q$5-1),0))</f>
        <v>4430</v>
      </c>
      <c r="Q204" s="41">
        <f ca="1">AVERAGE(E204:OFFSET(E204,-(Q$6-1),0))</f>
        <v>4451.75</v>
      </c>
      <c r="R204" s="64">
        <f t="shared" ca="1" si="26"/>
        <v>0</v>
      </c>
    </row>
    <row r="205" spans="1:18" x14ac:dyDescent="0.25">
      <c r="A205" s="47">
        <v>20090305</v>
      </c>
      <c r="B205" s="48">
        <v>4541</v>
      </c>
      <c r="C205" s="48">
        <v>4646</v>
      </c>
      <c r="D205" s="48">
        <v>4539</v>
      </c>
      <c r="E205" s="48">
        <v>4595</v>
      </c>
      <c r="F205" s="49">
        <v>120108</v>
      </c>
      <c r="G205" s="58">
        <f t="shared" si="28"/>
        <v>30</v>
      </c>
      <c r="H205" s="58">
        <f t="shared" si="27"/>
        <v>54</v>
      </c>
      <c r="I205" s="71">
        <f t="shared" ca="1" si="21"/>
        <v>0</v>
      </c>
      <c r="J205" s="73">
        <f t="shared" ca="1" si="22"/>
        <v>1</v>
      </c>
      <c r="K205" s="74">
        <f t="shared" ca="1" si="23"/>
        <v>84</v>
      </c>
      <c r="L205" s="79">
        <f t="shared" ca="1" si="24"/>
        <v>511</v>
      </c>
      <c r="M205" s="63">
        <f t="shared" si="29"/>
        <v>1</v>
      </c>
      <c r="N205" s="40">
        <f ca="1">AVERAGE(M205:OFFSET(M205,-(O$5-1),0))</f>
        <v>0.66666666666666663</v>
      </c>
      <c r="O205" s="64">
        <f t="shared" ca="1" si="25"/>
        <v>0</v>
      </c>
      <c r="P205" s="68">
        <f ca="1">AVERAGE(E205:OFFSET(E205,-(Q$5-1),0))</f>
        <v>4442.7</v>
      </c>
      <c r="Q205" s="41">
        <f ca="1">AVERAGE(E205:OFFSET(E205,-(Q$6-1),0))</f>
        <v>4468</v>
      </c>
      <c r="R205" s="64">
        <f t="shared" ca="1" si="26"/>
        <v>0</v>
      </c>
    </row>
    <row r="206" spans="1:18" x14ac:dyDescent="0.25">
      <c r="A206" s="47">
        <v>20090306</v>
      </c>
      <c r="B206" s="48">
        <v>4550</v>
      </c>
      <c r="C206" s="48">
        <v>4638</v>
      </c>
      <c r="D206" s="48">
        <v>4540</v>
      </c>
      <c r="E206" s="48">
        <v>4628</v>
      </c>
      <c r="F206" s="49">
        <v>109029</v>
      </c>
      <c r="G206" s="58">
        <f t="shared" si="28"/>
        <v>-45</v>
      </c>
      <c r="H206" s="58">
        <f t="shared" si="27"/>
        <v>78</v>
      </c>
      <c r="I206" s="71">
        <f t="shared" ca="1" si="21"/>
        <v>0</v>
      </c>
      <c r="J206" s="73">
        <f t="shared" ca="1" si="22"/>
        <v>1</v>
      </c>
      <c r="K206" s="74">
        <f t="shared" ca="1" si="23"/>
        <v>33</v>
      </c>
      <c r="L206" s="79">
        <f t="shared" ca="1" si="24"/>
        <v>544</v>
      </c>
      <c r="M206" s="63">
        <f t="shared" si="29"/>
        <v>1</v>
      </c>
      <c r="N206" s="40">
        <f ca="1">AVERAGE(M206:OFFSET(M206,-(O$5-1),0))</f>
        <v>0.66666666666666663</v>
      </c>
      <c r="O206" s="64">
        <f t="shared" ca="1" si="25"/>
        <v>0</v>
      </c>
      <c r="P206" s="68">
        <f ca="1">AVERAGE(E206:OFFSET(E206,-(Q$5-1),0))</f>
        <v>4469.2</v>
      </c>
      <c r="Q206" s="41">
        <f ca="1">AVERAGE(E206:OFFSET(E206,-(Q$6-1),0))</f>
        <v>4477.25</v>
      </c>
      <c r="R206" s="64">
        <f t="shared" ca="1" si="26"/>
        <v>0</v>
      </c>
    </row>
    <row r="207" spans="1:18" x14ac:dyDescent="0.25">
      <c r="A207" s="47">
        <v>20090309</v>
      </c>
      <c r="B207" s="48">
        <v>4672</v>
      </c>
      <c r="C207" s="48">
        <v>4675</v>
      </c>
      <c r="D207" s="48">
        <v>4543</v>
      </c>
      <c r="E207" s="48">
        <v>4624</v>
      </c>
      <c r="F207" s="49">
        <v>93646</v>
      </c>
      <c r="G207" s="58">
        <f t="shared" si="28"/>
        <v>44</v>
      </c>
      <c r="H207" s="58">
        <f t="shared" si="27"/>
        <v>-48</v>
      </c>
      <c r="I207" s="71">
        <f t="shared" ca="1" si="21"/>
        <v>1</v>
      </c>
      <c r="J207" s="73">
        <f t="shared" ca="1" si="22"/>
        <v>1</v>
      </c>
      <c r="K207" s="74">
        <f t="shared" ca="1" si="23"/>
        <v>-4</v>
      </c>
      <c r="L207" s="79">
        <f t="shared" ca="1" si="24"/>
        <v>540</v>
      </c>
      <c r="M207" s="63">
        <f t="shared" si="29"/>
        <v>0</v>
      </c>
      <c r="N207" s="40">
        <f ca="1">AVERAGE(M207:OFFSET(M207,-(O$5-1),0))</f>
        <v>0.6</v>
      </c>
      <c r="O207" s="64">
        <f t="shared" ca="1" si="25"/>
        <v>0</v>
      </c>
      <c r="P207" s="68">
        <f ca="1">AVERAGE(E207:OFFSET(E207,-(Q$5-1),0))</f>
        <v>4489</v>
      </c>
      <c r="Q207" s="41">
        <f ca="1">AVERAGE(E207:OFFSET(E207,-(Q$6-1),0))</f>
        <v>4485.6499999999996</v>
      </c>
      <c r="R207" s="64">
        <f t="shared" ca="1" si="26"/>
        <v>1</v>
      </c>
    </row>
    <row r="208" spans="1:18" x14ac:dyDescent="0.25">
      <c r="A208" s="47">
        <v>20090310</v>
      </c>
      <c r="B208" s="48">
        <v>4601</v>
      </c>
      <c r="C208" s="48">
        <v>4669</v>
      </c>
      <c r="D208" s="48">
        <v>4567</v>
      </c>
      <c r="E208" s="48">
        <v>4656</v>
      </c>
      <c r="F208" s="49">
        <v>91575</v>
      </c>
      <c r="G208" s="58">
        <f t="shared" si="28"/>
        <v>-23</v>
      </c>
      <c r="H208" s="58">
        <f t="shared" si="27"/>
        <v>55</v>
      </c>
      <c r="I208" s="71">
        <f t="shared" ca="1" si="21"/>
        <v>0</v>
      </c>
      <c r="J208" s="73">
        <f t="shared" ca="1" si="22"/>
        <v>2</v>
      </c>
      <c r="K208" s="74">
        <f t="shared" ca="1" si="23"/>
        <v>87</v>
      </c>
      <c r="L208" s="79">
        <f t="shared" ca="1" si="24"/>
        <v>627</v>
      </c>
      <c r="M208" s="63">
        <f t="shared" si="29"/>
        <v>1</v>
      </c>
      <c r="N208" s="40">
        <f ca="1">AVERAGE(M208:OFFSET(M208,-(O$5-1),0))</f>
        <v>0.66666666666666663</v>
      </c>
      <c r="O208" s="64">
        <f t="shared" ca="1" si="25"/>
        <v>0</v>
      </c>
      <c r="P208" s="68">
        <f ca="1">AVERAGE(E208:OFFSET(E208,-(Q$5-1),0))</f>
        <v>4516.5</v>
      </c>
      <c r="Q208" s="41">
        <f ca="1">AVERAGE(E208:OFFSET(E208,-(Q$6-1),0))</f>
        <v>4493.6000000000004</v>
      </c>
      <c r="R208" s="64">
        <f t="shared" ca="1" si="26"/>
        <v>0</v>
      </c>
    </row>
    <row r="209" spans="1:18" x14ac:dyDescent="0.25">
      <c r="A209" s="47">
        <v>20090311</v>
      </c>
      <c r="B209" s="48">
        <v>4775</v>
      </c>
      <c r="C209" s="48">
        <v>4785</v>
      </c>
      <c r="D209" s="48">
        <v>4715</v>
      </c>
      <c r="E209" s="48">
        <v>4758</v>
      </c>
      <c r="F209" s="49">
        <v>76468</v>
      </c>
      <c r="G209" s="58">
        <f t="shared" si="28"/>
        <v>119</v>
      </c>
      <c r="H209" s="58">
        <f t="shared" si="27"/>
        <v>-17</v>
      </c>
      <c r="I209" s="71">
        <f t="shared" ca="1" si="21"/>
        <v>0</v>
      </c>
      <c r="J209" s="73">
        <f t="shared" ca="1" si="22"/>
        <v>2</v>
      </c>
      <c r="K209" s="74">
        <f t="shared" ca="1" si="23"/>
        <v>204</v>
      </c>
      <c r="L209" s="79">
        <f t="shared" ca="1" si="24"/>
        <v>831</v>
      </c>
      <c r="M209" s="63">
        <f t="shared" si="29"/>
        <v>1</v>
      </c>
      <c r="N209" s="40">
        <f ca="1">AVERAGE(M209:OFFSET(M209,-(O$5-1),0))</f>
        <v>0.73333333333333328</v>
      </c>
      <c r="O209" s="64">
        <f t="shared" ca="1" si="25"/>
        <v>0</v>
      </c>
      <c r="P209" s="68">
        <f ca="1">AVERAGE(E209:OFFSET(E209,-(Q$5-1),0))</f>
        <v>4545.7</v>
      </c>
      <c r="Q209" s="41">
        <f ca="1">AVERAGE(E209:OFFSET(E209,-(Q$6-1),0))</f>
        <v>4503.6000000000004</v>
      </c>
      <c r="R209" s="64">
        <f t="shared" ca="1" si="26"/>
        <v>0</v>
      </c>
    </row>
    <row r="210" spans="1:18" x14ac:dyDescent="0.25">
      <c r="A210" s="47">
        <v>20090312</v>
      </c>
      <c r="B210" s="48">
        <v>4752</v>
      </c>
      <c r="C210" s="48">
        <v>4779</v>
      </c>
      <c r="D210" s="48">
        <v>4724</v>
      </c>
      <c r="E210" s="48">
        <v>4748</v>
      </c>
      <c r="F210" s="49">
        <v>62705</v>
      </c>
      <c r="G210" s="58">
        <f t="shared" si="28"/>
        <v>-6</v>
      </c>
      <c r="H210" s="58">
        <f t="shared" si="27"/>
        <v>-4</v>
      </c>
      <c r="I210" s="71">
        <f t="shared" ca="1" si="21"/>
        <v>0</v>
      </c>
      <c r="J210" s="73">
        <f t="shared" ca="1" si="22"/>
        <v>2</v>
      </c>
      <c r="K210" s="74">
        <f t="shared" ca="1" si="23"/>
        <v>-20</v>
      </c>
      <c r="L210" s="79">
        <f t="shared" ca="1" si="24"/>
        <v>811</v>
      </c>
      <c r="M210" s="63">
        <f t="shared" si="29"/>
        <v>0</v>
      </c>
      <c r="N210" s="40">
        <f ca="1">AVERAGE(M210:OFFSET(M210,-(O$5-1),0))</f>
        <v>0.66666666666666663</v>
      </c>
      <c r="O210" s="64">
        <f t="shared" ca="1" si="25"/>
        <v>0</v>
      </c>
      <c r="P210" s="68">
        <f ca="1">AVERAGE(E210:OFFSET(E210,-(Q$5-1),0))</f>
        <v>4572.8</v>
      </c>
      <c r="Q210" s="41">
        <f ca="1">AVERAGE(E210:OFFSET(E210,-(Q$6-1),0))</f>
        <v>4518.75</v>
      </c>
      <c r="R210" s="64">
        <f t="shared" ca="1" si="26"/>
        <v>0</v>
      </c>
    </row>
    <row r="211" spans="1:18" x14ac:dyDescent="0.25">
      <c r="A211" s="47">
        <v>20090313</v>
      </c>
      <c r="B211" s="48">
        <v>4820</v>
      </c>
      <c r="C211" s="48">
        <v>4942</v>
      </c>
      <c r="D211" s="48">
        <v>4813</v>
      </c>
      <c r="E211" s="48">
        <v>4900</v>
      </c>
      <c r="F211" s="49">
        <v>96063</v>
      </c>
      <c r="G211" s="58">
        <f t="shared" si="28"/>
        <v>72</v>
      </c>
      <c r="H211" s="58">
        <f t="shared" si="27"/>
        <v>80</v>
      </c>
      <c r="I211" s="71">
        <f t="shared" ca="1" si="21"/>
        <v>0</v>
      </c>
      <c r="J211" s="73">
        <f t="shared" ca="1" si="22"/>
        <v>2</v>
      </c>
      <c r="K211" s="74">
        <f t="shared" ca="1" si="23"/>
        <v>304</v>
      </c>
      <c r="L211" s="79">
        <f t="shared" ca="1" si="24"/>
        <v>1115</v>
      </c>
      <c r="M211" s="63">
        <f t="shared" si="29"/>
        <v>1</v>
      </c>
      <c r="N211" s="40">
        <f ca="1">AVERAGE(M211:OFFSET(M211,-(O$5-1),0))</f>
        <v>0.73333333333333328</v>
      </c>
      <c r="O211" s="64">
        <f t="shared" ca="1" si="25"/>
        <v>0</v>
      </c>
      <c r="P211" s="68">
        <f ca="1">AVERAGE(E211:OFFSET(E211,-(Q$5-1),0))</f>
        <v>4611.8</v>
      </c>
      <c r="Q211" s="41">
        <f ca="1">AVERAGE(E211:OFFSET(E211,-(Q$6-1),0))</f>
        <v>4535.2</v>
      </c>
      <c r="R211" s="64">
        <f t="shared" ca="1" si="26"/>
        <v>0</v>
      </c>
    </row>
    <row r="212" spans="1:18" x14ac:dyDescent="0.25">
      <c r="A212" s="47">
        <v>20090316</v>
      </c>
      <c r="B212" s="48">
        <v>4938</v>
      </c>
      <c r="C212" s="48">
        <v>4985</v>
      </c>
      <c r="D212" s="48">
        <v>4907</v>
      </c>
      <c r="E212" s="48">
        <v>4962</v>
      </c>
      <c r="F212" s="49">
        <v>75400</v>
      </c>
      <c r="G212" s="58">
        <f t="shared" si="28"/>
        <v>38</v>
      </c>
      <c r="H212" s="58">
        <f t="shared" si="27"/>
        <v>24</v>
      </c>
      <c r="I212" s="71">
        <f t="shared" ca="1" si="21"/>
        <v>0</v>
      </c>
      <c r="J212" s="73">
        <f t="shared" ca="1" si="22"/>
        <v>2</v>
      </c>
      <c r="K212" s="74">
        <f t="shared" ca="1" si="23"/>
        <v>124</v>
      </c>
      <c r="L212" s="79">
        <f t="shared" ca="1" si="24"/>
        <v>1239</v>
      </c>
      <c r="M212" s="63">
        <f t="shared" si="29"/>
        <v>1</v>
      </c>
      <c r="N212" s="40">
        <f ca="1">AVERAGE(M212:OFFSET(M212,-(O$5-1),0))</f>
        <v>0.73333333333333328</v>
      </c>
      <c r="O212" s="64">
        <f t="shared" ca="1" si="25"/>
        <v>0</v>
      </c>
      <c r="P212" s="68">
        <f ca="1">AVERAGE(E212:OFFSET(E212,-(Q$5-1),0))</f>
        <v>4674.8999999999996</v>
      </c>
      <c r="Q212" s="41">
        <f ca="1">AVERAGE(E212:OFFSET(E212,-(Q$6-1),0))</f>
        <v>4554.55</v>
      </c>
      <c r="R212" s="64">
        <f t="shared" ca="1" si="26"/>
        <v>0</v>
      </c>
    </row>
    <row r="213" spans="1:18" x14ac:dyDescent="0.25">
      <c r="A213" s="47">
        <v>20090317</v>
      </c>
      <c r="B213" s="48">
        <v>4966</v>
      </c>
      <c r="C213" s="48">
        <v>5070</v>
      </c>
      <c r="D213" s="48">
        <v>4946</v>
      </c>
      <c r="E213" s="48">
        <v>5057</v>
      </c>
      <c r="F213" s="49">
        <v>87165</v>
      </c>
      <c r="G213" s="58">
        <f t="shared" si="28"/>
        <v>4</v>
      </c>
      <c r="H213" s="58">
        <f t="shared" si="27"/>
        <v>91</v>
      </c>
      <c r="I213" s="71">
        <f t="shared" ca="1" si="21"/>
        <v>-1</v>
      </c>
      <c r="J213" s="73">
        <f t="shared" ca="1" si="22"/>
        <v>2</v>
      </c>
      <c r="K213" s="74">
        <f t="shared" ca="1" si="23"/>
        <v>190</v>
      </c>
      <c r="L213" s="79">
        <f t="shared" ca="1" si="24"/>
        <v>1429</v>
      </c>
      <c r="M213" s="63">
        <f t="shared" si="29"/>
        <v>1</v>
      </c>
      <c r="N213" s="40">
        <f ca="1">AVERAGE(M213:OFFSET(M213,-(O$5-1),0))</f>
        <v>0.8</v>
      </c>
      <c r="O213" s="64">
        <f t="shared" ca="1" si="25"/>
        <v>-1</v>
      </c>
      <c r="P213" s="68">
        <f ca="1">AVERAGE(E213:OFFSET(E213,-(Q$5-1),0))</f>
        <v>4743.8999999999996</v>
      </c>
      <c r="Q213" s="41">
        <f ca="1">AVERAGE(E213:OFFSET(E213,-(Q$6-1),0))</f>
        <v>4582.7</v>
      </c>
      <c r="R213" s="64">
        <f t="shared" ca="1" si="26"/>
        <v>0</v>
      </c>
    </row>
    <row r="214" spans="1:18" x14ac:dyDescent="0.25">
      <c r="A214" s="47">
        <v>20090318</v>
      </c>
      <c r="B214" s="48">
        <v>5045</v>
      </c>
      <c r="C214" s="48">
        <v>5068</v>
      </c>
      <c r="D214" s="48">
        <v>4996</v>
      </c>
      <c r="E214" s="48">
        <v>5027</v>
      </c>
      <c r="F214" s="49">
        <v>57454</v>
      </c>
      <c r="G214" s="58">
        <f t="shared" si="28"/>
        <v>-12</v>
      </c>
      <c r="H214" s="58">
        <f t="shared" si="27"/>
        <v>-18</v>
      </c>
      <c r="I214" s="71">
        <f t="shared" ca="1" si="21"/>
        <v>0</v>
      </c>
      <c r="J214" s="73">
        <f t="shared" ca="1" si="22"/>
        <v>1</v>
      </c>
      <c r="K214" s="74">
        <f t="shared" ca="1" si="23"/>
        <v>-42</v>
      </c>
      <c r="L214" s="79">
        <f t="shared" ca="1" si="24"/>
        <v>1387</v>
      </c>
      <c r="M214" s="63">
        <f t="shared" si="29"/>
        <v>0</v>
      </c>
      <c r="N214" s="40">
        <f ca="1">AVERAGE(M214:OFFSET(M214,-(O$5-1),0))</f>
        <v>0.73333333333333328</v>
      </c>
      <c r="O214" s="64">
        <f t="shared" ca="1" si="25"/>
        <v>0</v>
      </c>
      <c r="P214" s="68">
        <f ca="1">AVERAGE(E214:OFFSET(E214,-(Q$5-1),0))</f>
        <v>4795.5</v>
      </c>
      <c r="Q214" s="41">
        <f ca="1">AVERAGE(E214:OFFSET(E214,-(Q$6-1),0))</f>
        <v>4612.75</v>
      </c>
      <c r="R214" s="64">
        <f t="shared" ca="1" si="26"/>
        <v>0</v>
      </c>
    </row>
    <row r="215" spans="1:18" x14ac:dyDescent="0.25">
      <c r="A215" s="47">
        <v>20090319</v>
      </c>
      <c r="B215" s="48">
        <v>5045</v>
      </c>
      <c r="C215" s="48">
        <v>5105</v>
      </c>
      <c r="D215" s="48">
        <v>4975</v>
      </c>
      <c r="E215" s="48">
        <v>4980</v>
      </c>
      <c r="F215" s="49">
        <v>105739</v>
      </c>
      <c r="G215" s="58">
        <f t="shared" si="28"/>
        <v>18</v>
      </c>
      <c r="H215" s="58">
        <f t="shared" si="27"/>
        <v>-65</v>
      </c>
      <c r="I215" s="71">
        <f t="shared" ca="1" si="21"/>
        <v>0</v>
      </c>
      <c r="J215" s="73">
        <f t="shared" ca="1" si="22"/>
        <v>1</v>
      </c>
      <c r="K215" s="74">
        <f t="shared" ca="1" si="23"/>
        <v>-47</v>
      </c>
      <c r="L215" s="79">
        <f t="shared" ca="1" si="24"/>
        <v>1340</v>
      </c>
      <c r="M215" s="63">
        <f t="shared" si="29"/>
        <v>0</v>
      </c>
      <c r="N215" s="40">
        <f ca="1">AVERAGE(M215:OFFSET(M215,-(O$5-1),0))</f>
        <v>0.66666666666666663</v>
      </c>
      <c r="O215" s="64">
        <f t="shared" ca="1" si="25"/>
        <v>0</v>
      </c>
      <c r="P215" s="68">
        <f ca="1">AVERAGE(E215:OFFSET(E215,-(Q$5-1),0))</f>
        <v>4834</v>
      </c>
      <c r="Q215" s="41">
        <f ca="1">AVERAGE(E215:OFFSET(E215,-(Q$6-1),0))</f>
        <v>4638.3500000000004</v>
      </c>
      <c r="R215" s="64">
        <f t="shared" ca="1" si="26"/>
        <v>0</v>
      </c>
    </row>
    <row r="216" spans="1:18" x14ac:dyDescent="0.25">
      <c r="A216" s="47">
        <v>20090320</v>
      </c>
      <c r="B216" s="48">
        <v>5006</v>
      </c>
      <c r="C216" s="48">
        <v>5040</v>
      </c>
      <c r="D216" s="48">
        <v>4922</v>
      </c>
      <c r="E216" s="48">
        <v>4950</v>
      </c>
      <c r="F216" s="49">
        <v>106367</v>
      </c>
      <c r="G216" s="58">
        <f t="shared" si="28"/>
        <v>26</v>
      </c>
      <c r="H216" s="58">
        <f t="shared" si="27"/>
        <v>-56</v>
      </c>
      <c r="I216" s="71">
        <f t="shared" ca="1" si="21"/>
        <v>0</v>
      </c>
      <c r="J216" s="73">
        <f t="shared" ca="1" si="22"/>
        <v>1</v>
      </c>
      <c r="K216" s="74">
        <f t="shared" ca="1" si="23"/>
        <v>-30</v>
      </c>
      <c r="L216" s="79">
        <f t="shared" ca="1" si="24"/>
        <v>1310</v>
      </c>
      <c r="M216" s="63">
        <f t="shared" si="29"/>
        <v>0</v>
      </c>
      <c r="N216" s="40">
        <f ca="1">AVERAGE(M216:OFFSET(M216,-(O$5-1),0))</f>
        <v>0.6</v>
      </c>
      <c r="O216" s="64">
        <f t="shared" ca="1" si="25"/>
        <v>0</v>
      </c>
      <c r="P216" s="68">
        <f ca="1">AVERAGE(E216:OFFSET(E216,-(Q$5-1),0))</f>
        <v>4866.2</v>
      </c>
      <c r="Q216" s="41">
        <f ca="1">AVERAGE(E216:OFFSET(E216,-(Q$6-1),0))</f>
        <v>4667.7</v>
      </c>
      <c r="R216" s="64">
        <f t="shared" ca="1" si="26"/>
        <v>0</v>
      </c>
    </row>
    <row r="217" spans="1:18" x14ac:dyDescent="0.25">
      <c r="A217" s="47">
        <v>20090323</v>
      </c>
      <c r="B217" s="48">
        <v>5032</v>
      </c>
      <c r="C217" s="48">
        <v>5132</v>
      </c>
      <c r="D217" s="48">
        <v>4991</v>
      </c>
      <c r="E217" s="48">
        <v>5131</v>
      </c>
      <c r="F217" s="49">
        <v>95367</v>
      </c>
      <c r="G217" s="58">
        <f t="shared" si="28"/>
        <v>82</v>
      </c>
      <c r="H217" s="58">
        <f t="shared" si="27"/>
        <v>99</v>
      </c>
      <c r="I217" s="71">
        <f t="shared" ca="1" si="21"/>
        <v>0</v>
      </c>
      <c r="J217" s="73">
        <f t="shared" ca="1" si="22"/>
        <v>1</v>
      </c>
      <c r="K217" s="74">
        <f t="shared" ca="1" si="23"/>
        <v>181</v>
      </c>
      <c r="L217" s="79">
        <f t="shared" ca="1" si="24"/>
        <v>1491</v>
      </c>
      <c r="M217" s="63">
        <f t="shared" si="29"/>
        <v>1</v>
      </c>
      <c r="N217" s="40">
        <f ca="1">AVERAGE(M217:OFFSET(M217,-(O$5-1),0))</f>
        <v>0.66666666666666663</v>
      </c>
      <c r="O217" s="64">
        <f t="shared" ca="1" si="25"/>
        <v>0</v>
      </c>
      <c r="P217" s="68">
        <f ca="1">AVERAGE(E217:OFFSET(E217,-(Q$5-1),0))</f>
        <v>4916.8999999999996</v>
      </c>
      <c r="Q217" s="41">
        <f ca="1">AVERAGE(E217:OFFSET(E217,-(Q$6-1),0))</f>
        <v>4702.95</v>
      </c>
      <c r="R217" s="64">
        <f t="shared" ca="1" si="26"/>
        <v>0</v>
      </c>
    </row>
    <row r="218" spans="1:18" x14ac:dyDescent="0.25">
      <c r="A218" s="47">
        <v>20090324</v>
      </c>
      <c r="B218" s="48">
        <v>5201</v>
      </c>
      <c r="C218" s="48">
        <v>5270</v>
      </c>
      <c r="D218" s="48">
        <v>5188</v>
      </c>
      <c r="E218" s="48">
        <v>5262</v>
      </c>
      <c r="F218" s="49">
        <v>99448</v>
      </c>
      <c r="G218" s="58">
        <f t="shared" si="28"/>
        <v>70</v>
      </c>
      <c r="H218" s="58">
        <f t="shared" si="27"/>
        <v>61</v>
      </c>
      <c r="I218" s="71">
        <f t="shared" ca="1" si="21"/>
        <v>0</v>
      </c>
      <c r="J218" s="73">
        <f t="shared" ca="1" si="22"/>
        <v>1</v>
      </c>
      <c r="K218" s="74">
        <f t="shared" ca="1" si="23"/>
        <v>131</v>
      </c>
      <c r="L218" s="79">
        <f t="shared" ca="1" si="24"/>
        <v>1622</v>
      </c>
      <c r="M218" s="63">
        <f t="shared" si="29"/>
        <v>1</v>
      </c>
      <c r="N218" s="40">
        <f ca="1">AVERAGE(M218:OFFSET(M218,-(O$5-1),0))</f>
        <v>0.66666666666666663</v>
      </c>
      <c r="O218" s="64">
        <f t="shared" ca="1" si="25"/>
        <v>0</v>
      </c>
      <c r="P218" s="68">
        <f ca="1">AVERAGE(E218:OFFSET(E218,-(Q$5-1),0))</f>
        <v>4977.5</v>
      </c>
      <c r="Q218" s="41">
        <f ca="1">AVERAGE(E218:OFFSET(E218,-(Q$6-1),0))</f>
        <v>4747</v>
      </c>
      <c r="R218" s="64">
        <f t="shared" ca="1" si="26"/>
        <v>0</v>
      </c>
    </row>
    <row r="219" spans="1:18" x14ac:dyDescent="0.25">
      <c r="A219" s="47">
        <v>20090325</v>
      </c>
      <c r="B219" s="48">
        <v>5254</v>
      </c>
      <c r="C219" s="48">
        <v>5389</v>
      </c>
      <c r="D219" s="48">
        <v>5232</v>
      </c>
      <c r="E219" s="48">
        <v>5360</v>
      </c>
      <c r="F219" s="49">
        <v>114159</v>
      </c>
      <c r="G219" s="58">
        <f t="shared" si="28"/>
        <v>-8</v>
      </c>
      <c r="H219" s="58">
        <f t="shared" si="27"/>
        <v>106</v>
      </c>
      <c r="I219" s="71">
        <f t="shared" ca="1" si="21"/>
        <v>0</v>
      </c>
      <c r="J219" s="73">
        <f t="shared" ca="1" si="22"/>
        <v>1</v>
      </c>
      <c r="K219" s="74">
        <f t="shared" ca="1" si="23"/>
        <v>98</v>
      </c>
      <c r="L219" s="79">
        <f t="shared" ca="1" si="24"/>
        <v>1720</v>
      </c>
      <c r="M219" s="63">
        <f t="shared" si="29"/>
        <v>1</v>
      </c>
      <c r="N219" s="40">
        <f ca="1">AVERAGE(M219:OFFSET(M219,-(O$5-1),0))</f>
        <v>0.66666666666666663</v>
      </c>
      <c r="O219" s="64">
        <f t="shared" ca="1" si="25"/>
        <v>0</v>
      </c>
      <c r="P219" s="68">
        <f ca="1">AVERAGE(E219:OFFSET(E219,-(Q$5-1),0))</f>
        <v>5037.7</v>
      </c>
      <c r="Q219" s="41">
        <f ca="1">AVERAGE(E219:OFFSET(E219,-(Q$6-1),0))</f>
        <v>4791.7</v>
      </c>
      <c r="R219" s="64">
        <f t="shared" ca="1" si="26"/>
        <v>0</v>
      </c>
    </row>
    <row r="220" spans="1:18" x14ac:dyDescent="0.25">
      <c r="A220" s="47">
        <v>20090326</v>
      </c>
      <c r="B220" s="48">
        <v>5349</v>
      </c>
      <c r="C220" s="48">
        <v>5434</v>
      </c>
      <c r="D220" s="48">
        <v>5317</v>
      </c>
      <c r="E220" s="48">
        <v>5385</v>
      </c>
      <c r="F220" s="49">
        <v>130866</v>
      </c>
      <c r="G220" s="58">
        <f t="shared" si="28"/>
        <v>-11</v>
      </c>
      <c r="H220" s="58">
        <f t="shared" si="27"/>
        <v>36</v>
      </c>
      <c r="I220" s="71">
        <f t="shared" ca="1" si="21"/>
        <v>0</v>
      </c>
      <c r="J220" s="73">
        <f t="shared" ca="1" si="22"/>
        <v>1</v>
      </c>
      <c r="K220" s="74">
        <f t="shared" ca="1" si="23"/>
        <v>25</v>
      </c>
      <c r="L220" s="79">
        <f t="shared" ca="1" si="24"/>
        <v>1745</v>
      </c>
      <c r="M220" s="63">
        <f t="shared" si="29"/>
        <v>1</v>
      </c>
      <c r="N220" s="40">
        <f ca="1">AVERAGE(M220:OFFSET(M220,-(O$5-1),0))</f>
        <v>0.66666666666666663</v>
      </c>
      <c r="O220" s="64">
        <f t="shared" ca="1" si="25"/>
        <v>0</v>
      </c>
      <c r="P220" s="68">
        <f ca="1">AVERAGE(E220:OFFSET(E220,-(Q$5-1),0))</f>
        <v>5101.3999999999996</v>
      </c>
      <c r="Q220" s="41">
        <f ca="1">AVERAGE(E220:OFFSET(E220,-(Q$6-1),0))</f>
        <v>4837.1000000000004</v>
      </c>
      <c r="R220" s="64">
        <f t="shared" ca="1" si="26"/>
        <v>0</v>
      </c>
    </row>
    <row r="221" spans="1:18" x14ac:dyDescent="0.25">
      <c r="A221" s="47">
        <v>20090327</v>
      </c>
      <c r="B221" s="48">
        <v>5434</v>
      </c>
      <c r="C221" s="48">
        <v>5454</v>
      </c>
      <c r="D221" s="48">
        <v>5336</v>
      </c>
      <c r="E221" s="48">
        <v>5353</v>
      </c>
      <c r="F221" s="49">
        <v>110141</v>
      </c>
      <c r="G221" s="58">
        <f t="shared" si="28"/>
        <v>49</v>
      </c>
      <c r="H221" s="58">
        <f t="shared" si="27"/>
        <v>-81</v>
      </c>
      <c r="I221" s="71">
        <f t="shared" ca="1" si="21"/>
        <v>0</v>
      </c>
      <c r="J221" s="73">
        <f t="shared" ca="1" si="22"/>
        <v>1</v>
      </c>
      <c r="K221" s="74">
        <f t="shared" ca="1" si="23"/>
        <v>-32</v>
      </c>
      <c r="L221" s="79">
        <f t="shared" ca="1" si="24"/>
        <v>1713</v>
      </c>
      <c r="M221" s="63">
        <f t="shared" si="29"/>
        <v>0</v>
      </c>
      <c r="N221" s="40">
        <f ca="1">AVERAGE(M221:OFFSET(M221,-(O$5-1),0))</f>
        <v>0.6</v>
      </c>
      <c r="O221" s="64">
        <f t="shared" ca="1" si="25"/>
        <v>0</v>
      </c>
      <c r="P221" s="68">
        <f ca="1">AVERAGE(E221:OFFSET(E221,-(Q$5-1),0))</f>
        <v>5146.7</v>
      </c>
      <c r="Q221" s="41">
        <f ca="1">AVERAGE(E221:OFFSET(E221,-(Q$6-1),0))</f>
        <v>4879.25</v>
      </c>
      <c r="R221" s="64">
        <f t="shared" ca="1" si="26"/>
        <v>0</v>
      </c>
    </row>
    <row r="222" spans="1:18" x14ac:dyDescent="0.25">
      <c r="A222" s="47">
        <v>20090330</v>
      </c>
      <c r="B222" s="48">
        <v>5346</v>
      </c>
      <c r="C222" s="48">
        <v>5360</v>
      </c>
      <c r="D222" s="48">
        <v>5143</v>
      </c>
      <c r="E222" s="48">
        <v>5175</v>
      </c>
      <c r="F222" s="49">
        <v>111477</v>
      </c>
      <c r="G222" s="58">
        <f t="shared" si="28"/>
        <v>-7</v>
      </c>
      <c r="H222" s="58">
        <f t="shared" si="27"/>
        <v>-171</v>
      </c>
      <c r="I222" s="71">
        <f t="shared" ca="1" si="21"/>
        <v>0</v>
      </c>
      <c r="J222" s="73">
        <f t="shared" ca="1" si="22"/>
        <v>1</v>
      </c>
      <c r="K222" s="74">
        <f t="shared" ca="1" si="23"/>
        <v>-178</v>
      </c>
      <c r="L222" s="79">
        <f t="shared" ca="1" si="24"/>
        <v>1535</v>
      </c>
      <c r="M222" s="63">
        <f t="shared" si="29"/>
        <v>0</v>
      </c>
      <c r="N222" s="40">
        <f ca="1">AVERAGE(M222:OFFSET(M222,-(O$5-1),0))</f>
        <v>0.6</v>
      </c>
      <c r="O222" s="64">
        <f t="shared" ca="1" si="25"/>
        <v>0</v>
      </c>
      <c r="P222" s="68">
        <f ca="1">AVERAGE(E222:OFFSET(E222,-(Q$5-1),0))</f>
        <v>5168</v>
      </c>
      <c r="Q222" s="41">
        <f ca="1">AVERAGE(E222:OFFSET(E222,-(Q$6-1),0))</f>
        <v>4921.45</v>
      </c>
      <c r="R222" s="64">
        <f t="shared" ca="1" si="26"/>
        <v>0</v>
      </c>
    </row>
    <row r="223" spans="1:18" x14ac:dyDescent="0.25">
      <c r="A223" s="47">
        <v>20090331</v>
      </c>
      <c r="B223" s="48">
        <v>5225</v>
      </c>
      <c r="C223" s="48">
        <v>5295</v>
      </c>
      <c r="D223" s="48">
        <v>5175</v>
      </c>
      <c r="E223" s="48">
        <v>5201</v>
      </c>
      <c r="F223" s="49">
        <v>105619</v>
      </c>
      <c r="G223" s="58">
        <f t="shared" si="28"/>
        <v>50</v>
      </c>
      <c r="H223" s="58">
        <f t="shared" si="27"/>
        <v>-24</v>
      </c>
      <c r="I223" s="71">
        <f t="shared" ca="1" si="21"/>
        <v>0</v>
      </c>
      <c r="J223" s="73">
        <f t="shared" ca="1" si="22"/>
        <v>1</v>
      </c>
      <c r="K223" s="74">
        <f t="shared" ca="1" si="23"/>
        <v>26</v>
      </c>
      <c r="L223" s="79">
        <f t="shared" ca="1" si="24"/>
        <v>1561</v>
      </c>
      <c r="M223" s="63">
        <f t="shared" si="29"/>
        <v>1</v>
      </c>
      <c r="N223" s="40">
        <f ca="1">AVERAGE(M223:OFFSET(M223,-(O$5-1),0))</f>
        <v>0.6</v>
      </c>
      <c r="O223" s="64">
        <f t="shared" ca="1" si="25"/>
        <v>0</v>
      </c>
      <c r="P223" s="68">
        <f ca="1">AVERAGE(E223:OFFSET(E223,-(Q$5-1),0))</f>
        <v>5182.3999999999996</v>
      </c>
      <c r="Q223" s="41">
        <f ca="1">AVERAGE(E223:OFFSET(E223,-(Q$6-1),0))</f>
        <v>4963.1499999999996</v>
      </c>
      <c r="R223" s="64">
        <f t="shared" ca="1" si="26"/>
        <v>0</v>
      </c>
    </row>
    <row r="224" spans="1:18" x14ac:dyDescent="0.25">
      <c r="A224" s="47">
        <v>20090401</v>
      </c>
      <c r="B224" s="48">
        <v>5228</v>
      </c>
      <c r="C224" s="48">
        <v>5344</v>
      </c>
      <c r="D224" s="48">
        <v>5222</v>
      </c>
      <c r="E224" s="48">
        <v>5314</v>
      </c>
      <c r="F224" s="49">
        <v>135768</v>
      </c>
      <c r="G224" s="58">
        <f t="shared" si="28"/>
        <v>27</v>
      </c>
      <c r="H224" s="58">
        <f t="shared" si="27"/>
        <v>86</v>
      </c>
      <c r="I224" s="71">
        <f t="shared" ca="1" si="21"/>
        <v>0</v>
      </c>
      <c r="J224" s="73">
        <f t="shared" ca="1" si="22"/>
        <v>1</v>
      </c>
      <c r="K224" s="74">
        <f t="shared" ca="1" si="23"/>
        <v>113</v>
      </c>
      <c r="L224" s="79">
        <f t="shared" ca="1" si="24"/>
        <v>1674</v>
      </c>
      <c r="M224" s="63">
        <f t="shared" si="29"/>
        <v>1</v>
      </c>
      <c r="N224" s="40">
        <f ca="1">AVERAGE(M224:OFFSET(M224,-(O$5-1),0))</f>
        <v>0.6</v>
      </c>
      <c r="O224" s="64">
        <f t="shared" ca="1" si="25"/>
        <v>0</v>
      </c>
      <c r="P224" s="68">
        <f ca="1">AVERAGE(E224:OFFSET(E224,-(Q$5-1),0))</f>
        <v>5211.1000000000004</v>
      </c>
      <c r="Q224" s="41">
        <f ca="1">AVERAGE(E224:OFFSET(E224,-(Q$6-1),0))</f>
        <v>5003.3</v>
      </c>
      <c r="R224" s="64">
        <f t="shared" ca="1" si="26"/>
        <v>0</v>
      </c>
    </row>
    <row r="225" spans="1:18" x14ac:dyDescent="0.25">
      <c r="A225" s="47">
        <v>20090402</v>
      </c>
      <c r="B225" s="48">
        <v>5400</v>
      </c>
      <c r="C225" s="48">
        <v>5517</v>
      </c>
      <c r="D225" s="48">
        <v>5400</v>
      </c>
      <c r="E225" s="48">
        <v>5511</v>
      </c>
      <c r="F225" s="49">
        <v>115802</v>
      </c>
      <c r="G225" s="58">
        <f t="shared" si="28"/>
        <v>86</v>
      </c>
      <c r="H225" s="58">
        <f t="shared" si="27"/>
        <v>111</v>
      </c>
      <c r="I225" s="71">
        <f t="shared" ca="1" si="21"/>
        <v>0</v>
      </c>
      <c r="J225" s="73">
        <f t="shared" ca="1" si="22"/>
        <v>1</v>
      </c>
      <c r="K225" s="74">
        <f t="shared" ca="1" si="23"/>
        <v>197</v>
      </c>
      <c r="L225" s="79">
        <f t="shared" ca="1" si="24"/>
        <v>1871</v>
      </c>
      <c r="M225" s="63">
        <f t="shared" si="29"/>
        <v>1</v>
      </c>
      <c r="N225" s="40">
        <f ca="1">AVERAGE(M225:OFFSET(M225,-(O$5-1),0))</f>
        <v>0.66666666666666663</v>
      </c>
      <c r="O225" s="64">
        <f t="shared" ca="1" si="25"/>
        <v>0</v>
      </c>
      <c r="P225" s="68">
        <f ca="1">AVERAGE(E225:OFFSET(E225,-(Q$5-1),0))</f>
        <v>5264.2</v>
      </c>
      <c r="Q225" s="41">
        <f ca="1">AVERAGE(E225:OFFSET(E225,-(Q$6-1),0))</f>
        <v>5049.1000000000004</v>
      </c>
      <c r="R225" s="64">
        <f t="shared" ca="1" si="26"/>
        <v>0</v>
      </c>
    </row>
    <row r="226" spans="1:18" x14ac:dyDescent="0.25">
      <c r="A226" s="47">
        <v>20090403</v>
      </c>
      <c r="B226" s="48">
        <v>5562</v>
      </c>
      <c r="C226" s="48">
        <v>5567</v>
      </c>
      <c r="D226" s="48">
        <v>5475</v>
      </c>
      <c r="E226" s="48">
        <v>5509</v>
      </c>
      <c r="F226" s="49">
        <v>103093</v>
      </c>
      <c r="G226" s="58">
        <f t="shared" si="28"/>
        <v>51</v>
      </c>
      <c r="H226" s="58">
        <f t="shared" si="27"/>
        <v>-53</v>
      </c>
      <c r="I226" s="71">
        <f t="shared" ca="1" si="21"/>
        <v>0</v>
      </c>
      <c r="J226" s="73">
        <f t="shared" ca="1" si="22"/>
        <v>1</v>
      </c>
      <c r="K226" s="74">
        <f t="shared" ca="1" si="23"/>
        <v>-2</v>
      </c>
      <c r="L226" s="79">
        <f t="shared" ca="1" si="24"/>
        <v>1869</v>
      </c>
      <c r="M226" s="63">
        <f t="shared" si="29"/>
        <v>0</v>
      </c>
      <c r="N226" s="40">
        <f ca="1">AVERAGE(M226:OFFSET(M226,-(O$5-1),0))</f>
        <v>0.6</v>
      </c>
      <c r="O226" s="64">
        <f t="shared" ca="1" si="25"/>
        <v>0</v>
      </c>
      <c r="P226" s="68">
        <f ca="1">AVERAGE(E226:OFFSET(E226,-(Q$5-1),0))</f>
        <v>5320.1</v>
      </c>
      <c r="Q226" s="41">
        <f ca="1">AVERAGE(E226:OFFSET(E226,-(Q$6-1),0))</f>
        <v>5093.1499999999996</v>
      </c>
      <c r="R226" s="64">
        <f t="shared" ca="1" si="26"/>
        <v>0</v>
      </c>
    </row>
    <row r="227" spans="1:18" x14ac:dyDescent="0.25">
      <c r="A227" s="47">
        <v>20090406</v>
      </c>
      <c r="B227" s="48">
        <v>5560</v>
      </c>
      <c r="C227" s="48">
        <v>5619</v>
      </c>
      <c r="D227" s="48">
        <v>5493</v>
      </c>
      <c r="E227" s="48">
        <v>5525</v>
      </c>
      <c r="F227" s="49">
        <v>104797</v>
      </c>
      <c r="G227" s="58">
        <f t="shared" si="28"/>
        <v>51</v>
      </c>
      <c r="H227" s="58">
        <f t="shared" si="27"/>
        <v>-35</v>
      </c>
      <c r="I227" s="71">
        <f t="shared" ca="1" si="21"/>
        <v>0</v>
      </c>
      <c r="J227" s="73">
        <f t="shared" ca="1" si="22"/>
        <v>1</v>
      </c>
      <c r="K227" s="74">
        <f t="shared" ca="1" si="23"/>
        <v>16</v>
      </c>
      <c r="L227" s="79">
        <f t="shared" ca="1" si="24"/>
        <v>1885</v>
      </c>
      <c r="M227" s="63">
        <f t="shared" si="29"/>
        <v>1</v>
      </c>
      <c r="N227" s="40">
        <f ca="1">AVERAGE(M227:OFFSET(M227,-(O$5-1),0))</f>
        <v>0.6</v>
      </c>
      <c r="O227" s="64">
        <f t="shared" ca="1" si="25"/>
        <v>0</v>
      </c>
      <c r="P227" s="68">
        <f ca="1">AVERAGE(E227:OFFSET(E227,-(Q$5-1),0))</f>
        <v>5359.5</v>
      </c>
      <c r="Q227" s="41">
        <f ca="1">AVERAGE(E227:OFFSET(E227,-(Q$6-1),0))</f>
        <v>5138.2</v>
      </c>
      <c r="R227" s="64">
        <f t="shared" ca="1" si="26"/>
        <v>0</v>
      </c>
    </row>
    <row r="228" spans="1:18" x14ac:dyDescent="0.25">
      <c r="A228" s="47">
        <v>20090407</v>
      </c>
      <c r="B228" s="48">
        <v>5503</v>
      </c>
      <c r="C228" s="48">
        <v>5587</v>
      </c>
      <c r="D228" s="48">
        <v>5464</v>
      </c>
      <c r="E228" s="48">
        <v>5583</v>
      </c>
      <c r="F228" s="49">
        <v>97719</v>
      </c>
      <c r="G228" s="58">
        <f t="shared" si="28"/>
        <v>-22</v>
      </c>
      <c r="H228" s="58">
        <f t="shared" si="27"/>
        <v>80</v>
      </c>
      <c r="I228" s="71">
        <f t="shared" ca="1" si="21"/>
        <v>0</v>
      </c>
      <c r="J228" s="73">
        <f t="shared" ca="1" si="22"/>
        <v>1</v>
      </c>
      <c r="K228" s="74">
        <f t="shared" ca="1" si="23"/>
        <v>58</v>
      </c>
      <c r="L228" s="79">
        <f t="shared" ca="1" si="24"/>
        <v>1943</v>
      </c>
      <c r="M228" s="63">
        <f t="shared" si="29"/>
        <v>1</v>
      </c>
      <c r="N228" s="40">
        <f ca="1">AVERAGE(M228:OFFSET(M228,-(O$5-1),0))</f>
        <v>0.6</v>
      </c>
      <c r="O228" s="64">
        <f t="shared" ca="1" si="25"/>
        <v>0</v>
      </c>
      <c r="P228" s="68">
        <f ca="1">AVERAGE(E228:OFFSET(E228,-(Q$5-1),0))</f>
        <v>5391.6</v>
      </c>
      <c r="Q228" s="41">
        <f ca="1">AVERAGE(E228:OFFSET(E228,-(Q$6-1),0))</f>
        <v>5184.55</v>
      </c>
      <c r="R228" s="64">
        <f t="shared" ca="1" si="26"/>
        <v>0</v>
      </c>
    </row>
    <row r="229" spans="1:18" x14ac:dyDescent="0.25">
      <c r="A229" s="47">
        <v>20090408</v>
      </c>
      <c r="B229" s="48">
        <v>5501</v>
      </c>
      <c r="C229" s="48">
        <v>5583</v>
      </c>
      <c r="D229" s="48">
        <v>5416</v>
      </c>
      <c r="E229" s="48">
        <v>5456</v>
      </c>
      <c r="F229" s="49">
        <v>134258</v>
      </c>
      <c r="G229" s="58">
        <f t="shared" si="28"/>
        <v>-82</v>
      </c>
      <c r="H229" s="58">
        <f t="shared" si="27"/>
        <v>-45</v>
      </c>
      <c r="I229" s="71">
        <f t="shared" ca="1" si="21"/>
        <v>0</v>
      </c>
      <c r="J229" s="73">
        <f t="shared" ca="1" si="22"/>
        <v>1</v>
      </c>
      <c r="K229" s="74">
        <f t="shared" ca="1" si="23"/>
        <v>-127</v>
      </c>
      <c r="L229" s="79">
        <f t="shared" ca="1" si="24"/>
        <v>1816</v>
      </c>
      <c r="M229" s="63">
        <f t="shared" si="29"/>
        <v>0</v>
      </c>
      <c r="N229" s="40">
        <f ca="1">AVERAGE(M229:OFFSET(M229,-(O$5-1),0))</f>
        <v>0.6</v>
      </c>
      <c r="O229" s="64">
        <f t="shared" ca="1" si="25"/>
        <v>0</v>
      </c>
      <c r="P229" s="68">
        <f ca="1">AVERAGE(E229:OFFSET(E229,-(Q$5-1),0))</f>
        <v>5401.2</v>
      </c>
      <c r="Q229" s="41">
        <f ca="1">AVERAGE(E229:OFFSET(E229,-(Q$6-1),0))</f>
        <v>5219.45</v>
      </c>
      <c r="R229" s="64">
        <f t="shared" ca="1" si="26"/>
        <v>0</v>
      </c>
    </row>
    <row r="230" spans="1:18" x14ac:dyDescent="0.25">
      <c r="A230" s="47">
        <v>20090409</v>
      </c>
      <c r="B230" s="48">
        <v>5538</v>
      </c>
      <c r="C230" s="48">
        <v>5718</v>
      </c>
      <c r="D230" s="48">
        <v>5525</v>
      </c>
      <c r="E230" s="48">
        <v>5712</v>
      </c>
      <c r="F230" s="49">
        <v>112212</v>
      </c>
      <c r="G230" s="58">
        <f t="shared" si="28"/>
        <v>82</v>
      </c>
      <c r="H230" s="58">
        <f t="shared" si="27"/>
        <v>174</v>
      </c>
      <c r="I230" s="71">
        <f t="shared" ca="1" si="21"/>
        <v>0</v>
      </c>
      <c r="J230" s="73">
        <f t="shared" ca="1" si="22"/>
        <v>1</v>
      </c>
      <c r="K230" s="74">
        <f t="shared" ca="1" si="23"/>
        <v>256</v>
      </c>
      <c r="L230" s="79">
        <f t="shared" ca="1" si="24"/>
        <v>2072</v>
      </c>
      <c r="M230" s="63">
        <f t="shared" si="29"/>
        <v>1</v>
      </c>
      <c r="N230" s="40">
        <f ca="1">AVERAGE(M230:OFFSET(M230,-(O$5-1),0))</f>
        <v>0.66666666666666663</v>
      </c>
      <c r="O230" s="64">
        <f t="shared" ca="1" si="25"/>
        <v>0</v>
      </c>
      <c r="P230" s="68">
        <f ca="1">AVERAGE(E230:OFFSET(E230,-(Q$5-1),0))</f>
        <v>5433.9</v>
      </c>
      <c r="Q230" s="41">
        <f ca="1">AVERAGE(E230:OFFSET(E230,-(Q$6-1),0))</f>
        <v>5267.65</v>
      </c>
      <c r="R230" s="64">
        <f t="shared" ca="1" si="26"/>
        <v>0</v>
      </c>
    </row>
    <row r="231" spans="1:18" x14ac:dyDescent="0.25">
      <c r="A231" s="47">
        <v>20090410</v>
      </c>
      <c r="B231" s="48">
        <v>5762</v>
      </c>
      <c r="C231" s="48">
        <v>5830</v>
      </c>
      <c r="D231" s="48">
        <v>5696</v>
      </c>
      <c r="E231" s="48">
        <v>5827</v>
      </c>
      <c r="F231" s="49">
        <v>125751</v>
      </c>
      <c r="G231" s="58">
        <f t="shared" si="28"/>
        <v>50</v>
      </c>
      <c r="H231" s="58">
        <f t="shared" si="27"/>
        <v>65</v>
      </c>
      <c r="I231" s="71">
        <f t="shared" ca="1" si="21"/>
        <v>0</v>
      </c>
      <c r="J231" s="73">
        <f t="shared" ca="1" si="22"/>
        <v>1</v>
      </c>
      <c r="K231" s="74">
        <f t="shared" ca="1" si="23"/>
        <v>115</v>
      </c>
      <c r="L231" s="79">
        <f t="shared" ca="1" si="24"/>
        <v>2187</v>
      </c>
      <c r="M231" s="63">
        <f t="shared" si="29"/>
        <v>1</v>
      </c>
      <c r="N231" s="40">
        <f ca="1">AVERAGE(M231:OFFSET(M231,-(O$5-1),0))</f>
        <v>0.73333333333333328</v>
      </c>
      <c r="O231" s="64">
        <f t="shared" ca="1" si="25"/>
        <v>0</v>
      </c>
      <c r="P231" s="68">
        <f ca="1">AVERAGE(E231:OFFSET(E231,-(Q$5-1),0))</f>
        <v>5481.3</v>
      </c>
      <c r="Q231" s="41">
        <f ca="1">AVERAGE(E231:OFFSET(E231,-(Q$6-1),0))</f>
        <v>5314</v>
      </c>
      <c r="R231" s="64">
        <f t="shared" ca="1" si="26"/>
        <v>0</v>
      </c>
    </row>
    <row r="232" spans="1:18" x14ac:dyDescent="0.25">
      <c r="A232" s="47">
        <v>20090413</v>
      </c>
      <c r="B232" s="48">
        <v>5835</v>
      </c>
      <c r="C232" s="48">
        <v>5876</v>
      </c>
      <c r="D232" s="48">
        <v>5786</v>
      </c>
      <c r="E232" s="48">
        <v>5846</v>
      </c>
      <c r="F232" s="49">
        <v>106059</v>
      </c>
      <c r="G232" s="58">
        <f t="shared" si="28"/>
        <v>8</v>
      </c>
      <c r="H232" s="58">
        <f t="shared" si="27"/>
        <v>11</v>
      </c>
      <c r="I232" s="71">
        <f t="shared" ca="1" si="21"/>
        <v>0</v>
      </c>
      <c r="J232" s="73">
        <f t="shared" ca="1" si="22"/>
        <v>1</v>
      </c>
      <c r="K232" s="74">
        <f t="shared" ca="1" si="23"/>
        <v>19</v>
      </c>
      <c r="L232" s="79">
        <f t="shared" ca="1" si="24"/>
        <v>2206</v>
      </c>
      <c r="M232" s="63">
        <f t="shared" si="29"/>
        <v>1</v>
      </c>
      <c r="N232" s="40">
        <f ca="1">AVERAGE(M232:OFFSET(M232,-(O$5-1),0))</f>
        <v>0.73333333333333328</v>
      </c>
      <c r="O232" s="64">
        <f t="shared" ca="1" si="25"/>
        <v>0</v>
      </c>
      <c r="P232" s="68">
        <f ca="1">AVERAGE(E232:OFFSET(E232,-(Q$5-1),0))</f>
        <v>5548.4</v>
      </c>
      <c r="Q232" s="41">
        <f ca="1">AVERAGE(E232:OFFSET(E232,-(Q$6-1),0))</f>
        <v>5358.2</v>
      </c>
      <c r="R232" s="64">
        <f t="shared" ca="1" si="26"/>
        <v>0</v>
      </c>
    </row>
    <row r="233" spans="1:18" x14ac:dyDescent="0.25">
      <c r="A233" s="47">
        <v>20090414</v>
      </c>
      <c r="B233" s="48">
        <v>5825</v>
      </c>
      <c r="C233" s="48">
        <v>5901</v>
      </c>
      <c r="D233" s="48">
        <v>5785</v>
      </c>
      <c r="E233" s="48">
        <v>5858</v>
      </c>
      <c r="F233" s="49">
        <v>101268</v>
      </c>
      <c r="G233" s="58">
        <f t="shared" si="28"/>
        <v>-21</v>
      </c>
      <c r="H233" s="58">
        <f t="shared" si="27"/>
        <v>33</v>
      </c>
      <c r="I233" s="71">
        <f t="shared" ca="1" si="21"/>
        <v>0</v>
      </c>
      <c r="J233" s="73">
        <f t="shared" ca="1" si="22"/>
        <v>1</v>
      </c>
      <c r="K233" s="74">
        <f t="shared" ca="1" si="23"/>
        <v>12</v>
      </c>
      <c r="L233" s="79">
        <f t="shared" ca="1" si="24"/>
        <v>2218</v>
      </c>
      <c r="M233" s="63">
        <f t="shared" si="29"/>
        <v>1</v>
      </c>
      <c r="N233" s="40">
        <f ca="1">AVERAGE(M233:OFFSET(M233,-(O$5-1),0))</f>
        <v>0.73333333333333328</v>
      </c>
      <c r="O233" s="64">
        <f t="shared" ca="1" si="25"/>
        <v>0</v>
      </c>
      <c r="P233" s="68">
        <f ca="1">AVERAGE(E233:OFFSET(E233,-(Q$5-1),0))</f>
        <v>5614.1</v>
      </c>
      <c r="Q233" s="41">
        <f ca="1">AVERAGE(E233:OFFSET(E233,-(Q$6-1),0))</f>
        <v>5398.25</v>
      </c>
      <c r="R233" s="64">
        <f t="shared" ca="1" si="26"/>
        <v>0</v>
      </c>
    </row>
    <row r="234" spans="1:18" x14ac:dyDescent="0.25">
      <c r="A234" s="47">
        <v>20090415</v>
      </c>
      <c r="B234" s="48">
        <v>5800</v>
      </c>
      <c r="C234" s="48">
        <v>5875</v>
      </c>
      <c r="D234" s="48">
        <v>5769</v>
      </c>
      <c r="E234" s="48">
        <v>5859</v>
      </c>
      <c r="F234" s="49">
        <v>61857</v>
      </c>
      <c r="G234" s="58">
        <f t="shared" si="28"/>
        <v>-58</v>
      </c>
      <c r="H234" s="58">
        <f t="shared" si="27"/>
        <v>59</v>
      </c>
      <c r="I234" s="71">
        <f t="shared" ca="1" si="21"/>
        <v>0</v>
      </c>
      <c r="J234" s="73">
        <f t="shared" ca="1" si="22"/>
        <v>1</v>
      </c>
      <c r="K234" s="74">
        <f t="shared" ca="1" si="23"/>
        <v>1</v>
      </c>
      <c r="L234" s="79">
        <f t="shared" ca="1" si="24"/>
        <v>2219</v>
      </c>
      <c r="M234" s="63">
        <f t="shared" si="29"/>
        <v>1</v>
      </c>
      <c r="N234" s="40">
        <f ca="1">AVERAGE(M234:OFFSET(M234,-(O$5-1),0))</f>
        <v>0.73333333333333328</v>
      </c>
      <c r="O234" s="64">
        <f t="shared" ca="1" si="25"/>
        <v>0</v>
      </c>
      <c r="P234" s="68">
        <f ca="1">AVERAGE(E234:OFFSET(E234,-(Q$5-1),0))</f>
        <v>5668.6</v>
      </c>
      <c r="Q234" s="41">
        <f ca="1">AVERAGE(E234:OFFSET(E234,-(Q$6-1),0))</f>
        <v>5439.85</v>
      </c>
      <c r="R234" s="64">
        <f t="shared" ca="1" si="26"/>
        <v>0</v>
      </c>
    </row>
    <row r="235" spans="1:18" x14ac:dyDescent="0.25">
      <c r="A235" s="47">
        <v>20090416</v>
      </c>
      <c r="B235" s="48">
        <v>5999</v>
      </c>
      <c r="C235" s="48">
        <v>6047</v>
      </c>
      <c r="D235" s="48">
        <v>5950</v>
      </c>
      <c r="E235" s="48">
        <v>5994</v>
      </c>
      <c r="F235" s="49">
        <v>112920</v>
      </c>
      <c r="G235" s="58">
        <f t="shared" si="28"/>
        <v>140</v>
      </c>
      <c r="H235" s="58">
        <f t="shared" si="27"/>
        <v>-5</v>
      </c>
      <c r="I235" s="71">
        <f t="shared" ca="1" si="21"/>
        <v>0</v>
      </c>
      <c r="J235" s="73">
        <f t="shared" ca="1" si="22"/>
        <v>1</v>
      </c>
      <c r="K235" s="74">
        <f t="shared" ca="1" si="23"/>
        <v>135</v>
      </c>
      <c r="L235" s="79">
        <f t="shared" ca="1" si="24"/>
        <v>2354</v>
      </c>
      <c r="M235" s="63">
        <f t="shared" si="29"/>
        <v>1</v>
      </c>
      <c r="N235" s="40">
        <f ca="1">AVERAGE(M235:OFFSET(M235,-(O$5-1),0))</f>
        <v>0.73333333333333328</v>
      </c>
      <c r="O235" s="64">
        <f t="shared" ca="1" si="25"/>
        <v>0</v>
      </c>
      <c r="P235" s="68">
        <f ca="1">AVERAGE(E235:OFFSET(E235,-(Q$5-1),0))</f>
        <v>5716.9</v>
      </c>
      <c r="Q235" s="41">
        <f ca="1">AVERAGE(E235:OFFSET(E235,-(Q$6-1),0))</f>
        <v>5490.55</v>
      </c>
      <c r="R235" s="64">
        <f t="shared" ca="1" si="26"/>
        <v>0</v>
      </c>
    </row>
    <row r="236" spans="1:18" x14ac:dyDescent="0.25">
      <c r="A236" s="47">
        <v>20090417</v>
      </c>
      <c r="B236" s="48">
        <v>6046</v>
      </c>
      <c r="C236" s="48">
        <v>6060</v>
      </c>
      <c r="D236" s="48">
        <v>5684</v>
      </c>
      <c r="E236" s="48">
        <v>5775</v>
      </c>
      <c r="F236" s="49">
        <v>149893</v>
      </c>
      <c r="G236" s="58">
        <f t="shared" si="28"/>
        <v>52</v>
      </c>
      <c r="H236" s="58">
        <f t="shared" si="27"/>
        <v>-271</v>
      </c>
      <c r="I236" s="71">
        <f t="shared" ca="1" si="21"/>
        <v>0</v>
      </c>
      <c r="J236" s="73">
        <f t="shared" ca="1" si="22"/>
        <v>1</v>
      </c>
      <c r="K236" s="74">
        <f t="shared" ca="1" si="23"/>
        <v>-219</v>
      </c>
      <c r="L236" s="79">
        <f t="shared" ca="1" si="24"/>
        <v>2135</v>
      </c>
      <c r="M236" s="63">
        <f t="shared" si="29"/>
        <v>0</v>
      </c>
      <c r="N236" s="40">
        <f ca="1">AVERAGE(M236:OFFSET(M236,-(O$5-1),0))</f>
        <v>0.73333333333333328</v>
      </c>
      <c r="O236" s="64">
        <f t="shared" ca="1" si="25"/>
        <v>0</v>
      </c>
      <c r="P236" s="68">
        <f ca="1">AVERAGE(E236:OFFSET(E236,-(Q$5-1),0))</f>
        <v>5743.5</v>
      </c>
      <c r="Q236" s="41">
        <f ca="1">AVERAGE(E236:OFFSET(E236,-(Q$6-1),0))</f>
        <v>5531.8</v>
      </c>
      <c r="R236" s="64">
        <f t="shared" ca="1" si="26"/>
        <v>0</v>
      </c>
    </row>
    <row r="237" spans="1:18" x14ac:dyDescent="0.25">
      <c r="A237" s="47">
        <v>20090420</v>
      </c>
      <c r="B237" s="48">
        <v>5772</v>
      </c>
      <c r="C237" s="48">
        <v>5815</v>
      </c>
      <c r="D237" s="48">
        <v>5668</v>
      </c>
      <c r="E237" s="48">
        <v>5765</v>
      </c>
      <c r="F237" s="49">
        <v>128609</v>
      </c>
      <c r="G237" s="58">
        <f t="shared" si="28"/>
        <v>-3</v>
      </c>
      <c r="H237" s="58">
        <f t="shared" si="27"/>
        <v>-7</v>
      </c>
      <c r="I237" s="71">
        <f t="shared" ca="1" si="21"/>
        <v>0</v>
      </c>
      <c r="J237" s="73">
        <f t="shared" ca="1" si="22"/>
        <v>1</v>
      </c>
      <c r="K237" s="74">
        <f t="shared" ca="1" si="23"/>
        <v>-10</v>
      </c>
      <c r="L237" s="79">
        <f t="shared" ca="1" si="24"/>
        <v>2125</v>
      </c>
      <c r="M237" s="63">
        <f t="shared" si="29"/>
        <v>0</v>
      </c>
      <c r="N237" s="40">
        <f ca="1">AVERAGE(M237:OFFSET(M237,-(O$5-1),0))</f>
        <v>0.73333333333333328</v>
      </c>
      <c r="O237" s="64">
        <f t="shared" ca="1" si="25"/>
        <v>0</v>
      </c>
      <c r="P237" s="68">
        <f ca="1">AVERAGE(E237:OFFSET(E237,-(Q$5-1),0))</f>
        <v>5767.5</v>
      </c>
      <c r="Q237" s="41">
        <f ca="1">AVERAGE(E237:OFFSET(E237,-(Q$6-1),0))</f>
        <v>5563.5</v>
      </c>
      <c r="R237" s="64">
        <f t="shared" ca="1" si="26"/>
        <v>0</v>
      </c>
    </row>
    <row r="238" spans="1:18" x14ac:dyDescent="0.25">
      <c r="A238" s="47">
        <v>20090421</v>
      </c>
      <c r="B238" s="48">
        <v>5667</v>
      </c>
      <c r="C238" s="48">
        <v>5899</v>
      </c>
      <c r="D238" s="48">
        <v>5654</v>
      </c>
      <c r="E238" s="48">
        <v>5896</v>
      </c>
      <c r="F238" s="49">
        <v>131984</v>
      </c>
      <c r="G238" s="58">
        <f t="shared" si="28"/>
        <v>-98</v>
      </c>
      <c r="H238" s="58">
        <f t="shared" si="27"/>
        <v>229</v>
      </c>
      <c r="I238" s="71">
        <f t="shared" ca="1" si="21"/>
        <v>0</v>
      </c>
      <c r="J238" s="73">
        <f t="shared" ca="1" si="22"/>
        <v>1</v>
      </c>
      <c r="K238" s="74">
        <f t="shared" ca="1" si="23"/>
        <v>131</v>
      </c>
      <c r="L238" s="79">
        <f t="shared" ca="1" si="24"/>
        <v>2256</v>
      </c>
      <c r="M238" s="63">
        <f t="shared" si="29"/>
        <v>1</v>
      </c>
      <c r="N238" s="40">
        <f ca="1">AVERAGE(M238:OFFSET(M238,-(O$5-1),0))</f>
        <v>0.73333333333333328</v>
      </c>
      <c r="O238" s="64">
        <f t="shared" ca="1" si="25"/>
        <v>0</v>
      </c>
      <c r="P238" s="68">
        <f ca="1">AVERAGE(E238:OFFSET(E238,-(Q$5-1),0))</f>
        <v>5798.8</v>
      </c>
      <c r="Q238" s="41">
        <f ca="1">AVERAGE(E238:OFFSET(E238,-(Q$6-1),0))</f>
        <v>5595.2</v>
      </c>
      <c r="R238" s="64">
        <f t="shared" ca="1" si="26"/>
        <v>0</v>
      </c>
    </row>
    <row r="239" spans="1:18" x14ac:dyDescent="0.25">
      <c r="A239" s="47">
        <v>20090422</v>
      </c>
      <c r="B239" s="48">
        <v>5865</v>
      </c>
      <c r="C239" s="48">
        <v>5928</v>
      </c>
      <c r="D239" s="48">
        <v>5833</v>
      </c>
      <c r="E239" s="48">
        <v>5847</v>
      </c>
      <c r="F239" s="49">
        <v>115853</v>
      </c>
      <c r="G239" s="58">
        <f t="shared" si="28"/>
        <v>-31</v>
      </c>
      <c r="H239" s="58">
        <f t="shared" si="27"/>
        <v>-18</v>
      </c>
      <c r="I239" s="71">
        <f t="shared" ca="1" si="21"/>
        <v>0</v>
      </c>
      <c r="J239" s="73">
        <f t="shared" ca="1" si="22"/>
        <v>1</v>
      </c>
      <c r="K239" s="74">
        <f t="shared" ca="1" si="23"/>
        <v>-49</v>
      </c>
      <c r="L239" s="79">
        <f t="shared" ca="1" si="24"/>
        <v>2207</v>
      </c>
      <c r="M239" s="63">
        <f t="shared" si="29"/>
        <v>0</v>
      </c>
      <c r="N239" s="40">
        <f ca="1">AVERAGE(M239:OFFSET(M239,-(O$5-1),0))</f>
        <v>0.66666666666666663</v>
      </c>
      <c r="O239" s="64">
        <f t="shared" ca="1" si="25"/>
        <v>0</v>
      </c>
      <c r="P239" s="68">
        <f ca="1">AVERAGE(E239:OFFSET(E239,-(Q$5-1),0))</f>
        <v>5837.9</v>
      </c>
      <c r="Q239" s="41">
        <f ca="1">AVERAGE(E239:OFFSET(E239,-(Q$6-1),0))</f>
        <v>5619.55</v>
      </c>
      <c r="R239" s="64">
        <f t="shared" ca="1" si="26"/>
        <v>0</v>
      </c>
    </row>
    <row r="240" spans="1:18" x14ac:dyDescent="0.25">
      <c r="A240" s="47">
        <v>20090423</v>
      </c>
      <c r="B240" s="48">
        <v>5870</v>
      </c>
      <c r="C240" s="48">
        <v>5906</v>
      </c>
      <c r="D240" s="48">
        <v>5755</v>
      </c>
      <c r="E240" s="48">
        <v>5901</v>
      </c>
      <c r="F240" s="49">
        <v>138403</v>
      </c>
      <c r="G240" s="58">
        <f t="shared" si="28"/>
        <v>23</v>
      </c>
      <c r="H240" s="58">
        <f t="shared" si="27"/>
        <v>31</v>
      </c>
      <c r="I240" s="71">
        <f t="shared" ca="1" si="21"/>
        <v>0</v>
      </c>
      <c r="J240" s="73">
        <f t="shared" ca="1" si="22"/>
        <v>1</v>
      </c>
      <c r="K240" s="74">
        <f t="shared" ca="1" si="23"/>
        <v>54</v>
      </c>
      <c r="L240" s="79">
        <f t="shared" ca="1" si="24"/>
        <v>2261</v>
      </c>
      <c r="M240" s="63">
        <f t="shared" si="29"/>
        <v>1</v>
      </c>
      <c r="N240" s="40">
        <f ca="1">AVERAGE(M240:OFFSET(M240,-(O$5-1),0))</f>
        <v>0.66666666666666663</v>
      </c>
      <c r="O240" s="64">
        <f t="shared" ca="1" si="25"/>
        <v>0</v>
      </c>
      <c r="P240" s="68">
        <f ca="1">AVERAGE(E240:OFFSET(E240,-(Q$5-1),0))</f>
        <v>5856.8</v>
      </c>
      <c r="Q240" s="41">
        <f ca="1">AVERAGE(E240:OFFSET(E240,-(Q$6-1),0))</f>
        <v>5645.35</v>
      </c>
      <c r="R240" s="64">
        <f t="shared" ca="1" si="26"/>
        <v>0</v>
      </c>
    </row>
    <row r="241" spans="1:18" x14ac:dyDescent="0.25">
      <c r="A241" s="47">
        <v>20090424</v>
      </c>
      <c r="B241" s="48">
        <v>5915</v>
      </c>
      <c r="C241" s="48">
        <v>5998</v>
      </c>
      <c r="D241" s="48">
        <v>5791</v>
      </c>
      <c r="E241" s="48">
        <v>5904</v>
      </c>
      <c r="F241" s="49">
        <v>146115</v>
      </c>
      <c r="G241" s="58">
        <f t="shared" si="28"/>
        <v>14</v>
      </c>
      <c r="H241" s="58">
        <f t="shared" si="27"/>
        <v>-11</v>
      </c>
      <c r="I241" s="71">
        <f t="shared" ca="1" si="21"/>
        <v>0</v>
      </c>
      <c r="J241" s="73">
        <f t="shared" ca="1" si="22"/>
        <v>1</v>
      </c>
      <c r="K241" s="74">
        <f t="shared" ca="1" si="23"/>
        <v>3</v>
      </c>
      <c r="L241" s="79">
        <f t="shared" ca="1" si="24"/>
        <v>2264</v>
      </c>
      <c r="M241" s="63">
        <f t="shared" si="29"/>
        <v>1</v>
      </c>
      <c r="N241" s="40">
        <f ca="1">AVERAGE(M241:OFFSET(M241,-(O$5-1),0))</f>
        <v>0.73333333333333328</v>
      </c>
      <c r="O241" s="64">
        <f t="shared" ca="1" si="25"/>
        <v>0</v>
      </c>
      <c r="P241" s="68">
        <f ca="1">AVERAGE(E241:OFFSET(E241,-(Q$5-1),0))</f>
        <v>5864.5</v>
      </c>
      <c r="Q241" s="41">
        <f ca="1">AVERAGE(E241:OFFSET(E241,-(Q$6-1),0))</f>
        <v>5672.9</v>
      </c>
      <c r="R241" s="64">
        <f t="shared" ca="1" si="26"/>
        <v>0</v>
      </c>
    </row>
    <row r="242" spans="1:18" x14ac:dyDescent="0.25">
      <c r="A242" s="47">
        <v>20090427</v>
      </c>
      <c r="B242" s="48">
        <v>5930</v>
      </c>
      <c r="C242" s="48">
        <v>5950</v>
      </c>
      <c r="D242" s="48">
        <v>5676</v>
      </c>
      <c r="E242" s="48">
        <v>5710</v>
      </c>
      <c r="F242" s="49">
        <v>147666</v>
      </c>
      <c r="G242" s="58">
        <f t="shared" si="28"/>
        <v>26</v>
      </c>
      <c r="H242" s="58">
        <f t="shared" si="27"/>
        <v>-220</v>
      </c>
      <c r="I242" s="71">
        <f t="shared" ca="1" si="21"/>
        <v>0</v>
      </c>
      <c r="J242" s="73">
        <f t="shared" ca="1" si="22"/>
        <v>1</v>
      </c>
      <c r="K242" s="74">
        <f t="shared" ca="1" si="23"/>
        <v>-194</v>
      </c>
      <c r="L242" s="79">
        <f t="shared" ca="1" si="24"/>
        <v>2070</v>
      </c>
      <c r="M242" s="63">
        <f t="shared" si="29"/>
        <v>0</v>
      </c>
      <c r="N242" s="40">
        <f ca="1">AVERAGE(M242:OFFSET(M242,-(O$5-1),0))</f>
        <v>0.66666666666666663</v>
      </c>
      <c r="O242" s="64">
        <f t="shared" ca="1" si="25"/>
        <v>0</v>
      </c>
      <c r="P242" s="68">
        <f ca="1">AVERAGE(E242:OFFSET(E242,-(Q$5-1),0))</f>
        <v>5850.9</v>
      </c>
      <c r="Q242" s="41">
        <f ca="1">AVERAGE(E242:OFFSET(E242,-(Q$6-1),0))</f>
        <v>5699.65</v>
      </c>
      <c r="R242" s="64">
        <f t="shared" ca="1" si="26"/>
        <v>0</v>
      </c>
    </row>
    <row r="243" spans="1:18" x14ac:dyDescent="0.25">
      <c r="A243" s="47">
        <v>20090428</v>
      </c>
      <c r="B243" s="48">
        <v>5766</v>
      </c>
      <c r="C243" s="48">
        <v>5784</v>
      </c>
      <c r="D243" s="48">
        <v>5576</v>
      </c>
      <c r="E243" s="48">
        <v>5580</v>
      </c>
      <c r="F243" s="49">
        <v>159400</v>
      </c>
      <c r="G243" s="58">
        <f t="shared" si="28"/>
        <v>56</v>
      </c>
      <c r="H243" s="58">
        <f t="shared" si="27"/>
        <v>-186</v>
      </c>
      <c r="I243" s="71">
        <f t="shared" ca="1" si="21"/>
        <v>0</v>
      </c>
      <c r="J243" s="73">
        <f t="shared" ca="1" si="22"/>
        <v>1</v>
      </c>
      <c r="K243" s="74">
        <f t="shared" ca="1" si="23"/>
        <v>-130</v>
      </c>
      <c r="L243" s="79">
        <f t="shared" ca="1" si="24"/>
        <v>1940</v>
      </c>
      <c r="M243" s="63">
        <f t="shared" si="29"/>
        <v>0</v>
      </c>
      <c r="N243" s="40">
        <f ca="1">AVERAGE(M243:OFFSET(M243,-(O$5-1),0))</f>
        <v>0.6</v>
      </c>
      <c r="O243" s="64">
        <f t="shared" ca="1" si="25"/>
        <v>0</v>
      </c>
      <c r="P243" s="68">
        <f ca="1">AVERAGE(E243:OFFSET(E243,-(Q$5-1),0))</f>
        <v>5823.1</v>
      </c>
      <c r="Q243" s="41">
        <f ca="1">AVERAGE(E243:OFFSET(E243,-(Q$6-1),0))</f>
        <v>5718.6</v>
      </c>
      <c r="R243" s="64">
        <f t="shared" ca="1" si="26"/>
        <v>0</v>
      </c>
    </row>
    <row r="244" spans="1:18" x14ac:dyDescent="0.25">
      <c r="A244" s="47">
        <v>20090429</v>
      </c>
      <c r="B244" s="48">
        <v>5648</v>
      </c>
      <c r="C244" s="48">
        <v>5664</v>
      </c>
      <c r="D244" s="48">
        <v>5584</v>
      </c>
      <c r="E244" s="48">
        <v>5623</v>
      </c>
      <c r="F244" s="49">
        <v>109574</v>
      </c>
      <c r="G244" s="58">
        <f t="shared" si="28"/>
        <v>68</v>
      </c>
      <c r="H244" s="58">
        <f t="shared" si="27"/>
        <v>-25</v>
      </c>
      <c r="I244" s="71">
        <f t="shared" ca="1" si="21"/>
        <v>0</v>
      </c>
      <c r="J244" s="73">
        <f t="shared" ca="1" si="22"/>
        <v>1</v>
      </c>
      <c r="K244" s="74">
        <f t="shared" ca="1" si="23"/>
        <v>43</v>
      </c>
      <c r="L244" s="79">
        <f t="shared" ca="1" si="24"/>
        <v>1983</v>
      </c>
      <c r="M244" s="63">
        <f t="shared" si="29"/>
        <v>1</v>
      </c>
      <c r="N244" s="40">
        <f ca="1">AVERAGE(M244:OFFSET(M244,-(O$5-1),0))</f>
        <v>0.66666666666666663</v>
      </c>
      <c r="O244" s="64">
        <f t="shared" ca="1" si="25"/>
        <v>0</v>
      </c>
      <c r="P244" s="68">
        <f ca="1">AVERAGE(E244:OFFSET(E244,-(Q$5-1),0))</f>
        <v>5799.5</v>
      </c>
      <c r="Q244" s="41">
        <f ca="1">AVERAGE(E244:OFFSET(E244,-(Q$6-1),0))</f>
        <v>5734.05</v>
      </c>
      <c r="R244" s="64">
        <f t="shared" ca="1" si="26"/>
        <v>0</v>
      </c>
    </row>
    <row r="245" spans="1:18" x14ac:dyDescent="0.25">
      <c r="A245" s="47">
        <v>20090430</v>
      </c>
      <c r="B245" s="48">
        <v>6015</v>
      </c>
      <c r="C245" s="48">
        <v>6015</v>
      </c>
      <c r="D245" s="48">
        <v>5995</v>
      </c>
      <c r="E245" s="48">
        <v>6015</v>
      </c>
      <c r="F245" s="49">
        <v>29279</v>
      </c>
      <c r="G245" s="58">
        <f t="shared" si="28"/>
        <v>392</v>
      </c>
      <c r="H245" s="58">
        <f t="shared" si="27"/>
        <v>0</v>
      </c>
      <c r="I245" s="71">
        <f t="shared" ref="I245:I302" ca="1" si="30">IF(OR(O245=1,R245=1),1,IF(OR(O245=-1,R245=-1),-1,0))</f>
        <v>0</v>
      </c>
      <c r="J245" s="73">
        <f t="shared" ref="J245:J302" ca="1" si="31">IF((J244+I244)&gt;=J$5, J$5, IF((J244+I244)&lt;=J$7, J$7, J244+I244))</f>
        <v>1</v>
      </c>
      <c r="K245" s="74">
        <f t="shared" ca="1" si="23"/>
        <v>392</v>
      </c>
      <c r="L245" s="79">
        <f t="shared" ca="1" si="24"/>
        <v>2375</v>
      </c>
      <c r="M245" s="63">
        <f t="shared" si="29"/>
        <v>1</v>
      </c>
      <c r="N245" s="40">
        <f ca="1">AVERAGE(M245:OFFSET(M245,-(O$5-1),0))</f>
        <v>0.66666666666666663</v>
      </c>
      <c r="O245" s="64">
        <f t="shared" ca="1" si="25"/>
        <v>0</v>
      </c>
      <c r="P245" s="68">
        <f ca="1">AVERAGE(E245:OFFSET(E245,-(Q$5-1),0))</f>
        <v>5801.6</v>
      </c>
      <c r="Q245" s="41">
        <f ca="1">AVERAGE(E245:OFFSET(E245,-(Q$6-1),0))</f>
        <v>5759.25</v>
      </c>
      <c r="R245" s="64">
        <f t="shared" ca="1" si="26"/>
        <v>0</v>
      </c>
    </row>
    <row r="246" spans="1:18" x14ac:dyDescent="0.25">
      <c r="A246" s="47">
        <v>20090504</v>
      </c>
      <c r="B246" s="48">
        <v>6363</v>
      </c>
      <c r="C246" s="48">
        <v>6436</v>
      </c>
      <c r="D246" s="48">
        <v>6301</v>
      </c>
      <c r="E246" s="48">
        <v>6436</v>
      </c>
      <c r="F246" s="49">
        <v>39606</v>
      </c>
      <c r="G246" s="58">
        <f t="shared" si="28"/>
        <v>348</v>
      </c>
      <c r="H246" s="58">
        <f t="shared" si="27"/>
        <v>73</v>
      </c>
      <c r="I246" s="71">
        <f t="shared" ca="1" si="30"/>
        <v>0</v>
      </c>
      <c r="J246" s="73">
        <f t="shared" ca="1" si="31"/>
        <v>1</v>
      </c>
      <c r="K246" s="74">
        <f t="shared" ref="K246:K302" ca="1" si="32">J245*G246+J246*H246</f>
        <v>421</v>
      </c>
      <c r="L246" s="79">
        <f t="shared" ref="L246:L302" ca="1" si="33">L245+K246</f>
        <v>2796</v>
      </c>
      <c r="M246" s="63">
        <f t="shared" si="29"/>
        <v>1</v>
      </c>
      <c r="N246" s="40">
        <f ca="1">AVERAGE(M246:OFFSET(M246,-(O$5-1),0))</f>
        <v>0.66666666666666663</v>
      </c>
      <c r="O246" s="64">
        <f t="shared" ref="O246:O302" ca="1" si="34">IF(N246&lt;=O$6, 1, IF(N246&gt;=O$7,-1, 0))</f>
        <v>0</v>
      </c>
      <c r="P246" s="68">
        <f ca="1">AVERAGE(E246:OFFSET(E246,-(Q$5-1),0))</f>
        <v>5867.7</v>
      </c>
      <c r="Q246" s="41">
        <f ca="1">AVERAGE(E246:OFFSET(E246,-(Q$6-1),0))</f>
        <v>5805.6</v>
      </c>
      <c r="R246" s="64">
        <f t="shared" ref="R246:R302" ca="1" si="35">IF(AND(P245&lt;=Q245,P246&gt;Q246),1,IF(AND(P245&gt;=Q245,P246&lt;Q246),-1,0))</f>
        <v>0</v>
      </c>
    </row>
    <row r="247" spans="1:18" x14ac:dyDescent="0.25">
      <c r="A247" s="47">
        <v>20090505</v>
      </c>
      <c r="B247" s="48">
        <v>6637</v>
      </c>
      <c r="C247" s="48">
        <v>6720</v>
      </c>
      <c r="D247" s="48">
        <v>6426</v>
      </c>
      <c r="E247" s="48">
        <v>6542</v>
      </c>
      <c r="F247" s="49">
        <v>155017</v>
      </c>
      <c r="G247" s="58">
        <f t="shared" si="28"/>
        <v>201</v>
      </c>
      <c r="H247" s="58">
        <f t="shared" si="27"/>
        <v>-95</v>
      </c>
      <c r="I247" s="71">
        <f t="shared" ca="1" si="30"/>
        <v>0</v>
      </c>
      <c r="J247" s="73">
        <f t="shared" ca="1" si="31"/>
        <v>1</v>
      </c>
      <c r="K247" s="74">
        <f t="shared" ca="1" si="32"/>
        <v>106</v>
      </c>
      <c r="L247" s="79">
        <f t="shared" ca="1" si="33"/>
        <v>2902</v>
      </c>
      <c r="M247" s="63">
        <f t="shared" si="29"/>
        <v>1</v>
      </c>
      <c r="N247" s="40">
        <f ca="1">AVERAGE(M247:OFFSET(M247,-(O$5-1),0))</f>
        <v>0.66666666666666663</v>
      </c>
      <c r="O247" s="64">
        <f t="shared" ca="1" si="34"/>
        <v>0</v>
      </c>
      <c r="P247" s="68">
        <f ca="1">AVERAGE(E247:OFFSET(E247,-(Q$5-1),0))</f>
        <v>5945.4</v>
      </c>
      <c r="Q247" s="41">
        <f ca="1">AVERAGE(E247:OFFSET(E247,-(Q$6-1),0))</f>
        <v>5856.45</v>
      </c>
      <c r="R247" s="64">
        <f t="shared" ca="1" si="35"/>
        <v>0</v>
      </c>
    </row>
    <row r="248" spans="1:18" x14ac:dyDescent="0.25">
      <c r="A248" s="47">
        <v>20090506</v>
      </c>
      <c r="B248" s="48">
        <v>6510</v>
      </c>
      <c r="C248" s="48">
        <v>6585</v>
      </c>
      <c r="D248" s="48">
        <v>6412</v>
      </c>
      <c r="E248" s="48">
        <v>6536</v>
      </c>
      <c r="F248" s="49">
        <v>119634</v>
      </c>
      <c r="G248" s="58">
        <f t="shared" si="28"/>
        <v>-32</v>
      </c>
      <c r="H248" s="58">
        <f t="shared" si="27"/>
        <v>26</v>
      </c>
      <c r="I248" s="71">
        <f t="shared" ca="1" si="30"/>
        <v>0</v>
      </c>
      <c r="J248" s="73">
        <f t="shared" ca="1" si="31"/>
        <v>1</v>
      </c>
      <c r="K248" s="74">
        <f t="shared" ca="1" si="32"/>
        <v>-6</v>
      </c>
      <c r="L248" s="79">
        <f t="shared" ca="1" si="33"/>
        <v>2896</v>
      </c>
      <c r="M248" s="63">
        <f t="shared" si="29"/>
        <v>0</v>
      </c>
      <c r="N248" s="40">
        <f ca="1">AVERAGE(M248:OFFSET(M248,-(O$5-1),0))</f>
        <v>0.6</v>
      </c>
      <c r="O248" s="64">
        <f t="shared" ca="1" si="34"/>
        <v>0</v>
      </c>
      <c r="P248" s="68">
        <f ca="1">AVERAGE(E248:OFFSET(E248,-(Q$5-1),0))</f>
        <v>6009.4</v>
      </c>
      <c r="Q248" s="41">
        <f ca="1">AVERAGE(E248:OFFSET(E248,-(Q$6-1),0))</f>
        <v>5904.1</v>
      </c>
      <c r="R248" s="64">
        <f t="shared" ca="1" si="35"/>
        <v>0</v>
      </c>
    </row>
    <row r="249" spans="1:18" x14ac:dyDescent="0.25">
      <c r="A249" s="47">
        <v>20090507</v>
      </c>
      <c r="B249" s="48">
        <v>6606</v>
      </c>
      <c r="C249" s="48">
        <v>6630</v>
      </c>
      <c r="D249" s="48">
        <v>6446</v>
      </c>
      <c r="E249" s="48">
        <v>6613</v>
      </c>
      <c r="F249" s="49">
        <v>109116</v>
      </c>
      <c r="G249" s="58">
        <f t="shared" si="28"/>
        <v>70</v>
      </c>
      <c r="H249" s="58">
        <f t="shared" si="27"/>
        <v>7</v>
      </c>
      <c r="I249" s="71">
        <f t="shared" ca="1" si="30"/>
        <v>0</v>
      </c>
      <c r="J249" s="73">
        <f t="shared" ca="1" si="31"/>
        <v>1</v>
      </c>
      <c r="K249" s="74">
        <f t="shared" ca="1" si="32"/>
        <v>77</v>
      </c>
      <c r="L249" s="79">
        <f t="shared" ca="1" si="33"/>
        <v>2973</v>
      </c>
      <c r="M249" s="63">
        <f t="shared" si="29"/>
        <v>1</v>
      </c>
      <c r="N249" s="40">
        <f ca="1">AVERAGE(M249:OFFSET(M249,-(O$5-1),0))</f>
        <v>0.6</v>
      </c>
      <c r="O249" s="64">
        <f t="shared" ca="1" si="34"/>
        <v>0</v>
      </c>
      <c r="P249" s="68">
        <f ca="1">AVERAGE(E249:OFFSET(E249,-(Q$5-1),0))</f>
        <v>6086</v>
      </c>
      <c r="Q249" s="41">
        <f ca="1">AVERAGE(E249:OFFSET(E249,-(Q$6-1),0))</f>
        <v>5961.95</v>
      </c>
      <c r="R249" s="64">
        <f t="shared" ca="1" si="35"/>
        <v>0</v>
      </c>
    </row>
    <row r="250" spans="1:18" x14ac:dyDescent="0.25">
      <c r="A250" s="47">
        <v>20090508</v>
      </c>
      <c r="B250" s="48">
        <v>6570</v>
      </c>
      <c r="C250" s="48">
        <v>6598</v>
      </c>
      <c r="D250" s="48">
        <v>6506</v>
      </c>
      <c r="E250" s="48">
        <v>6572</v>
      </c>
      <c r="F250" s="49">
        <v>93272</v>
      </c>
      <c r="G250" s="58">
        <f t="shared" si="28"/>
        <v>-43</v>
      </c>
      <c r="H250" s="58">
        <f t="shared" si="27"/>
        <v>2</v>
      </c>
      <c r="I250" s="71">
        <f t="shared" ca="1" si="30"/>
        <v>0</v>
      </c>
      <c r="J250" s="73">
        <f t="shared" ca="1" si="31"/>
        <v>1</v>
      </c>
      <c r="K250" s="74">
        <f t="shared" ca="1" si="32"/>
        <v>-41</v>
      </c>
      <c r="L250" s="79">
        <f t="shared" ca="1" si="33"/>
        <v>2932</v>
      </c>
      <c r="M250" s="63">
        <f t="shared" si="29"/>
        <v>0</v>
      </c>
      <c r="N250" s="40">
        <f ca="1">AVERAGE(M250:OFFSET(M250,-(O$5-1),0))</f>
        <v>0.53333333333333333</v>
      </c>
      <c r="O250" s="64">
        <f t="shared" ca="1" si="34"/>
        <v>0</v>
      </c>
      <c r="P250" s="68">
        <f ca="1">AVERAGE(E250:OFFSET(E250,-(Q$5-1),0))</f>
        <v>6153.1</v>
      </c>
      <c r="Q250" s="41">
        <f ca="1">AVERAGE(E250:OFFSET(E250,-(Q$6-1),0))</f>
        <v>6004.95</v>
      </c>
      <c r="R250" s="64">
        <f t="shared" ca="1" si="35"/>
        <v>0</v>
      </c>
    </row>
    <row r="251" spans="1:18" x14ac:dyDescent="0.25">
      <c r="A251" s="47">
        <v>20090511</v>
      </c>
      <c r="B251" s="48">
        <v>6549</v>
      </c>
      <c r="C251" s="48">
        <v>6697</v>
      </c>
      <c r="D251" s="48">
        <v>6522</v>
      </c>
      <c r="E251" s="48">
        <v>6597</v>
      </c>
      <c r="F251" s="49">
        <v>100228</v>
      </c>
      <c r="G251" s="58">
        <f t="shared" si="28"/>
        <v>-23</v>
      </c>
      <c r="H251" s="58">
        <f t="shared" si="27"/>
        <v>48</v>
      </c>
      <c r="I251" s="71">
        <f t="shared" ca="1" si="30"/>
        <v>0</v>
      </c>
      <c r="J251" s="73">
        <f t="shared" ca="1" si="31"/>
        <v>1</v>
      </c>
      <c r="K251" s="74">
        <f t="shared" ca="1" si="32"/>
        <v>25</v>
      </c>
      <c r="L251" s="79">
        <f t="shared" ca="1" si="33"/>
        <v>2957</v>
      </c>
      <c r="M251" s="63">
        <f t="shared" si="29"/>
        <v>1</v>
      </c>
      <c r="N251" s="40">
        <f ca="1">AVERAGE(M251:OFFSET(M251,-(O$5-1),0))</f>
        <v>0.6</v>
      </c>
      <c r="O251" s="64">
        <f t="shared" ca="1" si="34"/>
        <v>0</v>
      </c>
      <c r="P251" s="68">
        <f ca="1">AVERAGE(E251:OFFSET(E251,-(Q$5-1),0))</f>
        <v>6222.4</v>
      </c>
      <c r="Q251" s="41">
        <f ca="1">AVERAGE(E251:OFFSET(E251,-(Q$6-1),0))</f>
        <v>6043.45</v>
      </c>
      <c r="R251" s="64">
        <f t="shared" ca="1" si="35"/>
        <v>0</v>
      </c>
    </row>
    <row r="252" spans="1:18" x14ac:dyDescent="0.25">
      <c r="A252" s="47">
        <v>20090512</v>
      </c>
      <c r="B252" s="48">
        <v>6562</v>
      </c>
      <c r="C252" s="48">
        <v>6586</v>
      </c>
      <c r="D252" s="48">
        <v>6385</v>
      </c>
      <c r="E252" s="48">
        <v>6447</v>
      </c>
      <c r="F252" s="49">
        <v>125215</v>
      </c>
      <c r="G252" s="58">
        <f t="shared" si="28"/>
        <v>-35</v>
      </c>
      <c r="H252" s="58">
        <f t="shared" si="27"/>
        <v>-115</v>
      </c>
      <c r="I252" s="71">
        <f t="shared" ca="1" si="30"/>
        <v>0</v>
      </c>
      <c r="J252" s="73">
        <f t="shared" ca="1" si="31"/>
        <v>1</v>
      </c>
      <c r="K252" s="74">
        <f t="shared" ca="1" si="32"/>
        <v>-150</v>
      </c>
      <c r="L252" s="79">
        <f t="shared" ca="1" si="33"/>
        <v>2807</v>
      </c>
      <c r="M252" s="63">
        <f t="shared" si="29"/>
        <v>0</v>
      </c>
      <c r="N252" s="40">
        <f ca="1">AVERAGE(M252:OFFSET(M252,-(O$5-1),0))</f>
        <v>0.6</v>
      </c>
      <c r="O252" s="64">
        <f t="shared" ca="1" si="34"/>
        <v>0</v>
      </c>
      <c r="P252" s="68">
        <f ca="1">AVERAGE(E252:OFFSET(E252,-(Q$5-1),0))</f>
        <v>6296.1</v>
      </c>
      <c r="Q252" s="41">
        <f ca="1">AVERAGE(E252:OFFSET(E252,-(Q$6-1),0))</f>
        <v>6073.5</v>
      </c>
      <c r="R252" s="64">
        <f t="shared" ca="1" si="35"/>
        <v>0</v>
      </c>
    </row>
    <row r="253" spans="1:18" x14ac:dyDescent="0.25">
      <c r="A253" s="47">
        <v>20090513</v>
      </c>
      <c r="B253" s="48">
        <v>6454</v>
      </c>
      <c r="C253" s="48">
        <v>6499</v>
      </c>
      <c r="D253" s="48">
        <v>6420</v>
      </c>
      <c r="E253" s="48">
        <v>6469</v>
      </c>
      <c r="F253" s="49">
        <v>81204</v>
      </c>
      <c r="G253" s="58">
        <f t="shared" si="28"/>
        <v>7</v>
      </c>
      <c r="H253" s="58">
        <f t="shared" si="27"/>
        <v>15</v>
      </c>
      <c r="I253" s="71">
        <f t="shared" ca="1" si="30"/>
        <v>0</v>
      </c>
      <c r="J253" s="73">
        <f t="shared" ca="1" si="31"/>
        <v>1</v>
      </c>
      <c r="K253" s="74">
        <f t="shared" ca="1" si="32"/>
        <v>22</v>
      </c>
      <c r="L253" s="79">
        <f t="shared" ca="1" si="33"/>
        <v>2829</v>
      </c>
      <c r="M253" s="63">
        <f t="shared" si="29"/>
        <v>1</v>
      </c>
      <c r="N253" s="40">
        <f ca="1">AVERAGE(M253:OFFSET(M253,-(O$5-1),0))</f>
        <v>0.6</v>
      </c>
      <c r="O253" s="64">
        <f t="shared" ca="1" si="34"/>
        <v>0</v>
      </c>
      <c r="P253" s="68">
        <f ca="1">AVERAGE(E253:OFFSET(E253,-(Q$5-1),0))</f>
        <v>6385</v>
      </c>
      <c r="Q253" s="41">
        <f ca="1">AVERAGE(E253:OFFSET(E253,-(Q$6-1),0))</f>
        <v>6104.05</v>
      </c>
      <c r="R253" s="64">
        <f t="shared" ca="1" si="35"/>
        <v>0</v>
      </c>
    </row>
    <row r="254" spans="1:18" x14ac:dyDescent="0.25">
      <c r="A254" s="47">
        <v>20090514</v>
      </c>
      <c r="B254" s="48">
        <v>6355</v>
      </c>
      <c r="C254" s="48">
        <v>6419</v>
      </c>
      <c r="D254" s="48">
        <v>6315</v>
      </c>
      <c r="E254" s="48">
        <v>6321</v>
      </c>
      <c r="F254" s="49">
        <v>90054</v>
      </c>
      <c r="G254" s="58">
        <f t="shared" si="28"/>
        <v>-114</v>
      </c>
      <c r="H254" s="58">
        <f t="shared" si="27"/>
        <v>-34</v>
      </c>
      <c r="I254" s="71">
        <f t="shared" ca="1" si="30"/>
        <v>0</v>
      </c>
      <c r="J254" s="73">
        <f t="shared" ca="1" si="31"/>
        <v>1</v>
      </c>
      <c r="K254" s="74">
        <f t="shared" ca="1" si="32"/>
        <v>-148</v>
      </c>
      <c r="L254" s="79">
        <f t="shared" ca="1" si="33"/>
        <v>2681</v>
      </c>
      <c r="M254" s="63">
        <f t="shared" si="29"/>
        <v>0</v>
      </c>
      <c r="N254" s="40">
        <f ca="1">AVERAGE(M254:OFFSET(M254,-(O$5-1),0))</f>
        <v>0.6</v>
      </c>
      <c r="O254" s="64">
        <f t="shared" ca="1" si="34"/>
        <v>0</v>
      </c>
      <c r="P254" s="68">
        <f ca="1">AVERAGE(E254:OFFSET(E254,-(Q$5-1),0))</f>
        <v>6454.8</v>
      </c>
      <c r="Q254" s="41">
        <f ca="1">AVERAGE(E254:OFFSET(E254,-(Q$6-1),0))</f>
        <v>6127.15</v>
      </c>
      <c r="R254" s="64">
        <f t="shared" ca="1" si="35"/>
        <v>0</v>
      </c>
    </row>
    <row r="255" spans="1:18" x14ac:dyDescent="0.25">
      <c r="A255" s="47">
        <v>20090515</v>
      </c>
      <c r="B255" s="48">
        <v>6372</v>
      </c>
      <c r="C255" s="48">
        <v>6509</v>
      </c>
      <c r="D255" s="48">
        <v>6356</v>
      </c>
      <c r="E255" s="48">
        <v>6476</v>
      </c>
      <c r="F255" s="49">
        <v>97643</v>
      </c>
      <c r="G255" s="58">
        <f t="shared" si="28"/>
        <v>51</v>
      </c>
      <c r="H255" s="58">
        <f t="shared" si="27"/>
        <v>104</v>
      </c>
      <c r="I255" s="71">
        <f t="shared" ca="1" si="30"/>
        <v>0</v>
      </c>
      <c r="J255" s="73">
        <f t="shared" ca="1" si="31"/>
        <v>1</v>
      </c>
      <c r="K255" s="74">
        <f t="shared" ca="1" si="32"/>
        <v>155</v>
      </c>
      <c r="L255" s="79">
        <f t="shared" ca="1" si="33"/>
        <v>2836</v>
      </c>
      <c r="M255" s="63">
        <f t="shared" si="29"/>
        <v>1</v>
      </c>
      <c r="N255" s="40">
        <f ca="1">AVERAGE(M255:OFFSET(M255,-(O$5-1),0))</f>
        <v>0.6</v>
      </c>
      <c r="O255" s="64">
        <f t="shared" ca="1" si="34"/>
        <v>0</v>
      </c>
      <c r="P255" s="68">
        <f ca="1">AVERAGE(E255:OFFSET(E255,-(Q$5-1),0))</f>
        <v>6500.9</v>
      </c>
      <c r="Q255" s="41">
        <f ca="1">AVERAGE(E255:OFFSET(E255,-(Q$6-1),0))</f>
        <v>6151.25</v>
      </c>
      <c r="R255" s="64">
        <f t="shared" ca="1" si="35"/>
        <v>0</v>
      </c>
    </row>
    <row r="256" spans="1:18" x14ac:dyDescent="0.25">
      <c r="A256" s="47">
        <v>20090518</v>
      </c>
      <c r="B256" s="48">
        <v>6424</v>
      </c>
      <c r="C256" s="48">
        <v>6573</v>
      </c>
      <c r="D256" s="48">
        <v>6402</v>
      </c>
      <c r="E256" s="48">
        <v>6561</v>
      </c>
      <c r="F256" s="49">
        <v>103280</v>
      </c>
      <c r="G256" s="58">
        <f t="shared" si="28"/>
        <v>-52</v>
      </c>
      <c r="H256" s="58">
        <f t="shared" si="27"/>
        <v>137</v>
      </c>
      <c r="I256" s="71">
        <f t="shared" ca="1" si="30"/>
        <v>0</v>
      </c>
      <c r="J256" s="73">
        <f t="shared" ca="1" si="31"/>
        <v>1</v>
      </c>
      <c r="K256" s="74">
        <f t="shared" ca="1" si="32"/>
        <v>85</v>
      </c>
      <c r="L256" s="79">
        <f t="shared" ca="1" si="33"/>
        <v>2921</v>
      </c>
      <c r="M256" s="63">
        <f t="shared" si="29"/>
        <v>1</v>
      </c>
      <c r="N256" s="40">
        <f ca="1">AVERAGE(M256:OFFSET(M256,-(O$5-1),0))</f>
        <v>0.6</v>
      </c>
      <c r="O256" s="64">
        <f t="shared" ca="1" si="34"/>
        <v>0</v>
      </c>
      <c r="P256" s="68">
        <f ca="1">AVERAGE(E256:OFFSET(E256,-(Q$5-1),0))</f>
        <v>6513.4</v>
      </c>
      <c r="Q256" s="41">
        <f ca="1">AVERAGE(E256:OFFSET(E256,-(Q$6-1),0))</f>
        <v>6190.55</v>
      </c>
      <c r="R256" s="64">
        <f t="shared" ca="1" si="35"/>
        <v>0</v>
      </c>
    </row>
    <row r="257" spans="1:18" x14ac:dyDescent="0.25">
      <c r="A257" s="47">
        <v>20090519</v>
      </c>
      <c r="B257" s="48">
        <v>6715</v>
      </c>
      <c r="C257" s="48">
        <v>6804</v>
      </c>
      <c r="D257" s="48">
        <v>6623</v>
      </c>
      <c r="E257" s="48">
        <v>6693</v>
      </c>
      <c r="F257" s="49">
        <v>103465</v>
      </c>
      <c r="G257" s="58">
        <f t="shared" si="28"/>
        <v>154</v>
      </c>
      <c r="H257" s="58">
        <f t="shared" si="27"/>
        <v>-22</v>
      </c>
      <c r="I257" s="71">
        <f t="shared" ca="1" si="30"/>
        <v>0</v>
      </c>
      <c r="J257" s="73">
        <f t="shared" ca="1" si="31"/>
        <v>1</v>
      </c>
      <c r="K257" s="74">
        <f t="shared" ca="1" si="32"/>
        <v>132</v>
      </c>
      <c r="L257" s="79">
        <f t="shared" ca="1" si="33"/>
        <v>3053</v>
      </c>
      <c r="M257" s="63">
        <f t="shared" si="29"/>
        <v>1</v>
      </c>
      <c r="N257" s="40">
        <f ca="1">AVERAGE(M257:OFFSET(M257,-(O$5-1),0))</f>
        <v>0.66666666666666663</v>
      </c>
      <c r="O257" s="64">
        <f t="shared" ca="1" si="34"/>
        <v>0</v>
      </c>
      <c r="P257" s="68">
        <f ca="1">AVERAGE(E257:OFFSET(E257,-(Q$5-1),0))</f>
        <v>6528.5</v>
      </c>
      <c r="Q257" s="41">
        <f ca="1">AVERAGE(E257:OFFSET(E257,-(Q$6-1),0))</f>
        <v>6236.95</v>
      </c>
      <c r="R257" s="64">
        <f t="shared" ca="1" si="35"/>
        <v>0</v>
      </c>
    </row>
    <row r="258" spans="1:18" x14ac:dyDescent="0.25">
      <c r="A258" s="47">
        <v>20090520</v>
      </c>
      <c r="B258" s="48">
        <v>6685</v>
      </c>
      <c r="C258" s="48">
        <v>6716</v>
      </c>
      <c r="D258" s="48">
        <v>6570</v>
      </c>
      <c r="E258" s="48">
        <v>6668</v>
      </c>
      <c r="F258" s="49">
        <v>55009</v>
      </c>
      <c r="G258" s="58">
        <f t="shared" si="28"/>
        <v>-8</v>
      </c>
      <c r="H258" s="58">
        <f t="shared" si="27"/>
        <v>-17</v>
      </c>
      <c r="I258" s="71">
        <f t="shared" ca="1" si="30"/>
        <v>0</v>
      </c>
      <c r="J258" s="73">
        <f t="shared" ca="1" si="31"/>
        <v>1</v>
      </c>
      <c r="K258" s="74">
        <f t="shared" ca="1" si="32"/>
        <v>-25</v>
      </c>
      <c r="L258" s="79">
        <f t="shared" ca="1" si="33"/>
        <v>3028</v>
      </c>
      <c r="M258" s="63">
        <f t="shared" si="29"/>
        <v>0</v>
      </c>
      <c r="N258" s="40">
        <f ca="1">AVERAGE(M258:OFFSET(M258,-(O$5-1),0))</f>
        <v>0.66666666666666663</v>
      </c>
      <c r="O258" s="64">
        <f t="shared" ca="1" si="34"/>
        <v>0</v>
      </c>
      <c r="P258" s="68">
        <f ca="1">AVERAGE(E258:OFFSET(E258,-(Q$5-1),0))</f>
        <v>6541.7</v>
      </c>
      <c r="Q258" s="41">
        <f ca="1">AVERAGE(E258:OFFSET(E258,-(Q$6-1),0))</f>
        <v>6275.55</v>
      </c>
      <c r="R258" s="64">
        <f t="shared" ca="1" si="35"/>
        <v>0</v>
      </c>
    </row>
    <row r="259" spans="1:18" x14ac:dyDescent="0.25">
      <c r="A259" s="47">
        <v>20090521</v>
      </c>
      <c r="B259" s="48">
        <v>6629</v>
      </c>
      <c r="C259" s="48">
        <v>6695</v>
      </c>
      <c r="D259" s="48">
        <v>6605</v>
      </c>
      <c r="E259" s="48">
        <v>6671</v>
      </c>
      <c r="F259" s="49">
        <v>91016</v>
      </c>
      <c r="G259" s="58">
        <f t="shared" si="28"/>
        <v>-39</v>
      </c>
      <c r="H259" s="58">
        <f t="shared" si="27"/>
        <v>42</v>
      </c>
      <c r="I259" s="71">
        <f t="shared" ca="1" si="30"/>
        <v>0</v>
      </c>
      <c r="J259" s="73">
        <f t="shared" ca="1" si="31"/>
        <v>1</v>
      </c>
      <c r="K259" s="74">
        <f t="shared" ca="1" si="32"/>
        <v>3</v>
      </c>
      <c r="L259" s="79">
        <f t="shared" ca="1" si="33"/>
        <v>3031</v>
      </c>
      <c r="M259" s="63">
        <f t="shared" si="29"/>
        <v>1</v>
      </c>
      <c r="N259" s="40">
        <f ca="1">AVERAGE(M259:OFFSET(M259,-(O$5-1),0))</f>
        <v>0.66666666666666663</v>
      </c>
      <c r="O259" s="64">
        <f t="shared" ca="1" si="34"/>
        <v>0</v>
      </c>
      <c r="P259" s="68">
        <f ca="1">AVERAGE(E259:OFFSET(E259,-(Q$5-1),0))</f>
        <v>6547.5</v>
      </c>
      <c r="Q259" s="41">
        <f ca="1">AVERAGE(E259:OFFSET(E259,-(Q$6-1),0))</f>
        <v>6316.75</v>
      </c>
      <c r="R259" s="64">
        <f t="shared" ca="1" si="35"/>
        <v>0</v>
      </c>
    </row>
    <row r="260" spans="1:18" x14ac:dyDescent="0.25">
      <c r="A260" s="47">
        <v>20090522</v>
      </c>
      <c r="B260" s="48">
        <v>6605</v>
      </c>
      <c r="C260" s="48">
        <v>6732</v>
      </c>
      <c r="D260" s="48">
        <v>6595</v>
      </c>
      <c r="E260" s="48">
        <v>6692</v>
      </c>
      <c r="F260" s="49">
        <v>90225</v>
      </c>
      <c r="G260" s="58">
        <f t="shared" si="28"/>
        <v>-66</v>
      </c>
      <c r="H260" s="58">
        <f t="shared" ref="H260:H302" si="36">E260-B260</f>
        <v>87</v>
      </c>
      <c r="I260" s="71">
        <f t="shared" ca="1" si="30"/>
        <v>0</v>
      </c>
      <c r="J260" s="73">
        <f t="shared" ca="1" si="31"/>
        <v>1</v>
      </c>
      <c r="K260" s="74">
        <f t="shared" ca="1" si="32"/>
        <v>21</v>
      </c>
      <c r="L260" s="79">
        <f t="shared" ca="1" si="33"/>
        <v>3052</v>
      </c>
      <c r="M260" s="63">
        <f t="shared" si="29"/>
        <v>1</v>
      </c>
      <c r="N260" s="40">
        <f ca="1">AVERAGE(M260:OFFSET(M260,-(O$5-1),0))</f>
        <v>0.66666666666666663</v>
      </c>
      <c r="O260" s="64">
        <f t="shared" ca="1" si="34"/>
        <v>0</v>
      </c>
      <c r="P260" s="68">
        <f ca="1">AVERAGE(E260:OFFSET(E260,-(Q$5-1),0))</f>
        <v>6559.5</v>
      </c>
      <c r="Q260" s="41">
        <f ca="1">AVERAGE(E260:OFFSET(E260,-(Q$6-1),0))</f>
        <v>6356.3</v>
      </c>
      <c r="R260" s="64">
        <f t="shared" ca="1" si="35"/>
        <v>0</v>
      </c>
    </row>
    <row r="261" spans="1:18" x14ac:dyDescent="0.25">
      <c r="A261" s="47">
        <v>20090525</v>
      </c>
      <c r="B261" s="48">
        <v>6751</v>
      </c>
      <c r="C261" s="48">
        <v>6837</v>
      </c>
      <c r="D261" s="48">
        <v>6647</v>
      </c>
      <c r="E261" s="48">
        <v>6724</v>
      </c>
      <c r="F261" s="49">
        <v>109495</v>
      </c>
      <c r="G261" s="58">
        <f t="shared" ref="G261:G302" si="37">B261-E260</f>
        <v>59</v>
      </c>
      <c r="H261" s="58">
        <f t="shared" si="36"/>
        <v>-27</v>
      </c>
      <c r="I261" s="71">
        <f t="shared" ca="1" si="30"/>
        <v>0</v>
      </c>
      <c r="J261" s="73">
        <f t="shared" ca="1" si="31"/>
        <v>1</v>
      </c>
      <c r="K261" s="74">
        <f t="shared" ca="1" si="32"/>
        <v>32</v>
      </c>
      <c r="L261" s="79">
        <f t="shared" ca="1" si="33"/>
        <v>3084</v>
      </c>
      <c r="M261" s="63">
        <f t="shared" ref="M261:M302" si="38">IF(E261&gt;E260,1,0)</f>
        <v>1</v>
      </c>
      <c r="N261" s="40">
        <f ca="1">AVERAGE(M261:OFFSET(M261,-(O$5-1),0))</f>
        <v>0.66666666666666663</v>
      </c>
      <c r="O261" s="64">
        <f t="shared" ca="1" si="34"/>
        <v>0</v>
      </c>
      <c r="P261" s="68">
        <f ca="1">AVERAGE(E261:OFFSET(E261,-(Q$5-1),0))</f>
        <v>6572.2</v>
      </c>
      <c r="Q261" s="41">
        <f ca="1">AVERAGE(E261:OFFSET(E261,-(Q$6-1),0))</f>
        <v>6397.3</v>
      </c>
      <c r="R261" s="64">
        <f t="shared" ca="1" si="35"/>
        <v>0</v>
      </c>
    </row>
    <row r="262" spans="1:18" x14ac:dyDescent="0.25">
      <c r="A262" s="47">
        <v>20090526</v>
      </c>
      <c r="B262" s="48">
        <v>6700</v>
      </c>
      <c r="C262" s="48">
        <v>6761</v>
      </c>
      <c r="D262" s="48">
        <v>6633</v>
      </c>
      <c r="E262" s="48">
        <v>6646</v>
      </c>
      <c r="F262" s="49">
        <v>94233</v>
      </c>
      <c r="G262" s="58">
        <f t="shared" si="37"/>
        <v>-24</v>
      </c>
      <c r="H262" s="58">
        <f t="shared" si="36"/>
        <v>-54</v>
      </c>
      <c r="I262" s="71">
        <f t="shared" ca="1" si="30"/>
        <v>0</v>
      </c>
      <c r="J262" s="73">
        <f t="shared" ca="1" si="31"/>
        <v>1</v>
      </c>
      <c r="K262" s="74">
        <f t="shared" ca="1" si="32"/>
        <v>-78</v>
      </c>
      <c r="L262" s="79">
        <f t="shared" ca="1" si="33"/>
        <v>3006</v>
      </c>
      <c r="M262" s="63">
        <f t="shared" si="38"/>
        <v>0</v>
      </c>
      <c r="N262" s="40">
        <f ca="1">AVERAGE(M262:OFFSET(M262,-(O$5-1),0))</f>
        <v>0.6</v>
      </c>
      <c r="O262" s="64">
        <f t="shared" ca="1" si="34"/>
        <v>0</v>
      </c>
      <c r="P262" s="68">
        <f ca="1">AVERAGE(E262:OFFSET(E262,-(Q$5-1),0))</f>
        <v>6592.1</v>
      </c>
      <c r="Q262" s="41">
        <f ca="1">AVERAGE(E262:OFFSET(E262,-(Q$6-1),0))</f>
        <v>6444.1</v>
      </c>
      <c r="R262" s="64">
        <f t="shared" ca="1" si="35"/>
        <v>0</v>
      </c>
    </row>
    <row r="263" spans="1:18" x14ac:dyDescent="0.25">
      <c r="A263" s="47">
        <v>20090527</v>
      </c>
      <c r="B263" s="48">
        <v>6720</v>
      </c>
      <c r="C263" s="48">
        <v>6997</v>
      </c>
      <c r="D263" s="48">
        <v>6699</v>
      </c>
      <c r="E263" s="48">
        <v>6932</v>
      </c>
      <c r="F263" s="49">
        <v>115296</v>
      </c>
      <c r="G263" s="58">
        <f t="shared" si="37"/>
        <v>74</v>
      </c>
      <c r="H263" s="58">
        <f t="shared" si="36"/>
        <v>212</v>
      </c>
      <c r="I263" s="71">
        <f t="shared" ca="1" si="30"/>
        <v>0</v>
      </c>
      <c r="J263" s="73">
        <f t="shared" ca="1" si="31"/>
        <v>1</v>
      </c>
      <c r="K263" s="74">
        <f t="shared" ca="1" si="32"/>
        <v>286</v>
      </c>
      <c r="L263" s="79">
        <f t="shared" ca="1" si="33"/>
        <v>3292</v>
      </c>
      <c r="M263" s="63">
        <f t="shared" si="38"/>
        <v>1</v>
      </c>
      <c r="N263" s="40">
        <f ca="1">AVERAGE(M263:OFFSET(M263,-(O$5-1),0))</f>
        <v>0.66666666666666663</v>
      </c>
      <c r="O263" s="64">
        <f t="shared" ca="1" si="34"/>
        <v>0</v>
      </c>
      <c r="P263" s="68">
        <f ca="1">AVERAGE(E263:OFFSET(E263,-(Q$5-1),0))</f>
        <v>6638.4</v>
      </c>
      <c r="Q263" s="41">
        <f ca="1">AVERAGE(E263:OFFSET(E263,-(Q$6-1),0))</f>
        <v>6511.7</v>
      </c>
      <c r="R263" s="64">
        <f t="shared" ca="1" si="35"/>
        <v>0</v>
      </c>
    </row>
    <row r="264" spans="1:18" x14ac:dyDescent="0.25">
      <c r="A264" s="47">
        <v>20090601</v>
      </c>
      <c r="B264" s="48">
        <v>6980</v>
      </c>
      <c r="C264" s="48">
        <v>7010</v>
      </c>
      <c r="D264" s="48">
        <v>6900</v>
      </c>
      <c r="E264" s="48">
        <v>6954</v>
      </c>
      <c r="F264" s="49">
        <v>76090</v>
      </c>
      <c r="G264" s="58">
        <f t="shared" si="37"/>
        <v>48</v>
      </c>
      <c r="H264" s="58">
        <f t="shared" si="36"/>
        <v>-26</v>
      </c>
      <c r="I264" s="71">
        <f t="shared" ca="1" si="30"/>
        <v>0</v>
      </c>
      <c r="J264" s="73">
        <f t="shared" ca="1" si="31"/>
        <v>1</v>
      </c>
      <c r="K264" s="74">
        <f t="shared" ca="1" si="32"/>
        <v>22</v>
      </c>
      <c r="L264" s="79">
        <f t="shared" ca="1" si="33"/>
        <v>3314</v>
      </c>
      <c r="M264" s="63">
        <f t="shared" si="38"/>
        <v>1</v>
      </c>
      <c r="N264" s="40">
        <f ca="1">AVERAGE(M264:OFFSET(M264,-(O$5-1),0))</f>
        <v>0.66666666666666663</v>
      </c>
      <c r="O264" s="64">
        <f t="shared" ca="1" si="34"/>
        <v>0</v>
      </c>
      <c r="P264" s="68">
        <f ca="1">AVERAGE(E264:OFFSET(E264,-(Q$5-1),0))</f>
        <v>6701.7</v>
      </c>
      <c r="Q264" s="41">
        <f ca="1">AVERAGE(E264:OFFSET(E264,-(Q$6-1),0))</f>
        <v>6578.25</v>
      </c>
      <c r="R264" s="64">
        <f t="shared" ca="1" si="35"/>
        <v>0</v>
      </c>
    </row>
    <row r="265" spans="1:18" x14ac:dyDescent="0.25">
      <c r="A265" s="47">
        <v>20090602</v>
      </c>
      <c r="B265" s="48">
        <v>7037</v>
      </c>
      <c r="C265" s="48">
        <v>7050</v>
      </c>
      <c r="D265" s="48">
        <v>6864</v>
      </c>
      <c r="E265" s="48">
        <v>6916</v>
      </c>
      <c r="F265" s="49">
        <v>92034</v>
      </c>
      <c r="G265" s="58">
        <f t="shared" si="37"/>
        <v>83</v>
      </c>
      <c r="H265" s="58">
        <f t="shared" si="36"/>
        <v>-121</v>
      </c>
      <c r="I265" s="71">
        <f t="shared" ca="1" si="30"/>
        <v>0</v>
      </c>
      <c r="J265" s="73">
        <f t="shared" ca="1" si="31"/>
        <v>1</v>
      </c>
      <c r="K265" s="74">
        <f t="shared" ca="1" si="32"/>
        <v>-38</v>
      </c>
      <c r="L265" s="79">
        <f t="shared" ca="1" si="33"/>
        <v>3276</v>
      </c>
      <c r="M265" s="63">
        <f t="shared" si="38"/>
        <v>0</v>
      </c>
      <c r="N265" s="40">
        <f ca="1">AVERAGE(M265:OFFSET(M265,-(O$5-1),0))</f>
        <v>0.66666666666666663</v>
      </c>
      <c r="O265" s="64">
        <f t="shared" ca="1" si="34"/>
        <v>0</v>
      </c>
      <c r="P265" s="68">
        <f ca="1">AVERAGE(E265:OFFSET(E265,-(Q$5-1),0))</f>
        <v>6745.7</v>
      </c>
      <c r="Q265" s="41">
        <f ca="1">AVERAGE(E265:OFFSET(E265,-(Q$6-1),0))</f>
        <v>6623.3</v>
      </c>
      <c r="R265" s="64">
        <f t="shared" ca="1" si="35"/>
        <v>0</v>
      </c>
    </row>
    <row r="266" spans="1:18" x14ac:dyDescent="0.25">
      <c r="A266" s="47">
        <v>20090603</v>
      </c>
      <c r="B266" s="48">
        <v>6928</v>
      </c>
      <c r="C266" s="48">
        <v>6933</v>
      </c>
      <c r="D266" s="48">
        <v>6842</v>
      </c>
      <c r="E266" s="48">
        <v>6898</v>
      </c>
      <c r="F266" s="49">
        <v>80134</v>
      </c>
      <c r="G266" s="58">
        <f t="shared" si="37"/>
        <v>12</v>
      </c>
      <c r="H266" s="58">
        <f t="shared" si="36"/>
        <v>-30</v>
      </c>
      <c r="I266" s="71">
        <f t="shared" ca="1" si="30"/>
        <v>0</v>
      </c>
      <c r="J266" s="73">
        <f t="shared" ca="1" si="31"/>
        <v>1</v>
      </c>
      <c r="K266" s="74">
        <f t="shared" ca="1" si="32"/>
        <v>-18</v>
      </c>
      <c r="L266" s="79">
        <f t="shared" ca="1" si="33"/>
        <v>3258</v>
      </c>
      <c r="M266" s="63">
        <f t="shared" si="38"/>
        <v>0</v>
      </c>
      <c r="N266" s="40">
        <f ca="1">AVERAGE(M266:OFFSET(M266,-(O$5-1),0))</f>
        <v>0.6</v>
      </c>
      <c r="O266" s="64">
        <f t="shared" ca="1" si="34"/>
        <v>0</v>
      </c>
      <c r="P266" s="68">
        <f ca="1">AVERAGE(E266:OFFSET(E266,-(Q$5-1),0))</f>
        <v>6779.4</v>
      </c>
      <c r="Q266" s="41">
        <f ca="1">AVERAGE(E266:OFFSET(E266,-(Q$6-1),0))</f>
        <v>6646.4</v>
      </c>
      <c r="R266" s="64">
        <f t="shared" ca="1" si="35"/>
        <v>0</v>
      </c>
    </row>
    <row r="267" spans="1:18" x14ac:dyDescent="0.25">
      <c r="A267" s="47">
        <v>20090604</v>
      </c>
      <c r="B267" s="48">
        <v>6860</v>
      </c>
      <c r="C267" s="48">
        <v>6897</v>
      </c>
      <c r="D267" s="48">
        <v>6696</v>
      </c>
      <c r="E267" s="48">
        <v>6784</v>
      </c>
      <c r="F267" s="49">
        <v>112875</v>
      </c>
      <c r="G267" s="58">
        <f t="shared" si="37"/>
        <v>-38</v>
      </c>
      <c r="H267" s="58">
        <f t="shared" si="36"/>
        <v>-76</v>
      </c>
      <c r="I267" s="71">
        <f t="shared" ca="1" si="30"/>
        <v>0</v>
      </c>
      <c r="J267" s="73">
        <f t="shared" ca="1" si="31"/>
        <v>1</v>
      </c>
      <c r="K267" s="74">
        <f t="shared" ca="1" si="32"/>
        <v>-114</v>
      </c>
      <c r="L267" s="79">
        <f t="shared" ca="1" si="33"/>
        <v>3144</v>
      </c>
      <c r="M267" s="63">
        <f t="shared" si="38"/>
        <v>0</v>
      </c>
      <c r="N267" s="40">
        <f ca="1">AVERAGE(M267:OFFSET(M267,-(O$5-1),0))</f>
        <v>0.6</v>
      </c>
      <c r="O267" s="64">
        <f t="shared" ca="1" si="34"/>
        <v>0</v>
      </c>
      <c r="P267" s="68">
        <f ca="1">AVERAGE(E267:OFFSET(E267,-(Q$5-1),0))</f>
        <v>6788.5</v>
      </c>
      <c r="Q267" s="41">
        <f ca="1">AVERAGE(E267:OFFSET(E267,-(Q$6-1),0))</f>
        <v>6658.5</v>
      </c>
      <c r="R267" s="64">
        <f t="shared" ca="1" si="35"/>
        <v>0</v>
      </c>
    </row>
    <row r="268" spans="1:18" x14ac:dyDescent="0.25">
      <c r="A268" s="47">
        <v>20090605</v>
      </c>
      <c r="B268" s="48">
        <v>6811</v>
      </c>
      <c r="C268" s="48">
        <v>6827</v>
      </c>
      <c r="D268" s="48">
        <v>6735</v>
      </c>
      <c r="E268" s="48">
        <v>6790</v>
      </c>
      <c r="F268" s="49">
        <v>74420</v>
      </c>
      <c r="G268" s="58">
        <f t="shared" si="37"/>
        <v>27</v>
      </c>
      <c r="H268" s="58">
        <f t="shared" si="36"/>
        <v>-21</v>
      </c>
      <c r="I268" s="71">
        <f t="shared" ca="1" si="30"/>
        <v>0</v>
      </c>
      <c r="J268" s="73">
        <f t="shared" ca="1" si="31"/>
        <v>1</v>
      </c>
      <c r="K268" s="74">
        <f t="shared" ca="1" si="32"/>
        <v>6</v>
      </c>
      <c r="L268" s="79">
        <f t="shared" ca="1" si="33"/>
        <v>3150</v>
      </c>
      <c r="M268" s="63">
        <f t="shared" si="38"/>
        <v>1</v>
      </c>
      <c r="N268" s="40">
        <f ca="1">AVERAGE(M268:OFFSET(M268,-(O$5-1),0))</f>
        <v>0.6</v>
      </c>
      <c r="O268" s="64">
        <f t="shared" ca="1" si="34"/>
        <v>0</v>
      </c>
      <c r="P268" s="68">
        <f ca="1">AVERAGE(E268:OFFSET(E268,-(Q$5-1),0))</f>
        <v>6800.7</v>
      </c>
      <c r="Q268" s="41">
        <f ca="1">AVERAGE(E268:OFFSET(E268,-(Q$6-1),0))</f>
        <v>6671.2</v>
      </c>
      <c r="R268" s="64">
        <f t="shared" ca="1" si="35"/>
        <v>0</v>
      </c>
    </row>
    <row r="269" spans="1:18" x14ac:dyDescent="0.25">
      <c r="A269" s="47">
        <v>20090606</v>
      </c>
      <c r="B269" s="48">
        <v>6777</v>
      </c>
      <c r="C269" s="48">
        <v>6853</v>
      </c>
      <c r="D269" s="48">
        <v>6775</v>
      </c>
      <c r="E269" s="48">
        <v>6833</v>
      </c>
      <c r="F269" s="49">
        <v>39196</v>
      </c>
      <c r="G269" s="58">
        <f t="shared" si="37"/>
        <v>-13</v>
      </c>
      <c r="H269" s="58">
        <f t="shared" si="36"/>
        <v>56</v>
      </c>
      <c r="I269" s="71">
        <f t="shared" ca="1" si="30"/>
        <v>0</v>
      </c>
      <c r="J269" s="73">
        <f t="shared" ca="1" si="31"/>
        <v>1</v>
      </c>
      <c r="K269" s="74">
        <f t="shared" ca="1" si="32"/>
        <v>43</v>
      </c>
      <c r="L269" s="79">
        <f t="shared" ca="1" si="33"/>
        <v>3193</v>
      </c>
      <c r="M269" s="63">
        <f t="shared" si="38"/>
        <v>1</v>
      </c>
      <c r="N269" s="40">
        <f ca="1">AVERAGE(M269:OFFSET(M269,-(O$5-1),0))</f>
        <v>0.66666666666666663</v>
      </c>
      <c r="O269" s="64">
        <f t="shared" ca="1" si="34"/>
        <v>0</v>
      </c>
      <c r="P269" s="68">
        <f ca="1">AVERAGE(E269:OFFSET(E269,-(Q$5-1),0))</f>
        <v>6816.9</v>
      </c>
      <c r="Q269" s="41">
        <f ca="1">AVERAGE(E269:OFFSET(E269,-(Q$6-1),0))</f>
        <v>6682.2</v>
      </c>
      <c r="R269" s="64">
        <f t="shared" ca="1" si="35"/>
        <v>0</v>
      </c>
    </row>
    <row r="270" spans="1:18" x14ac:dyDescent="0.25">
      <c r="A270" s="47">
        <v>20090608</v>
      </c>
      <c r="B270" s="48">
        <v>6865</v>
      </c>
      <c r="C270" s="48">
        <v>6884</v>
      </c>
      <c r="D270" s="48">
        <v>6612</v>
      </c>
      <c r="E270" s="48">
        <v>6643</v>
      </c>
      <c r="F270" s="49">
        <v>98319</v>
      </c>
      <c r="G270" s="58">
        <f t="shared" si="37"/>
        <v>32</v>
      </c>
      <c r="H270" s="58">
        <f t="shared" si="36"/>
        <v>-222</v>
      </c>
      <c r="I270" s="71">
        <f t="shared" ca="1" si="30"/>
        <v>0</v>
      </c>
      <c r="J270" s="73">
        <f t="shared" ca="1" si="31"/>
        <v>1</v>
      </c>
      <c r="K270" s="74">
        <f t="shared" ca="1" si="32"/>
        <v>-190</v>
      </c>
      <c r="L270" s="79">
        <f t="shared" ca="1" si="33"/>
        <v>3003</v>
      </c>
      <c r="M270" s="63">
        <f t="shared" si="38"/>
        <v>0</v>
      </c>
      <c r="N270" s="40">
        <f ca="1">AVERAGE(M270:OFFSET(M270,-(O$5-1),0))</f>
        <v>0.6</v>
      </c>
      <c r="O270" s="64">
        <f t="shared" ca="1" si="34"/>
        <v>0</v>
      </c>
      <c r="P270" s="68">
        <f ca="1">AVERAGE(E270:OFFSET(E270,-(Q$5-1),0))</f>
        <v>6812</v>
      </c>
      <c r="Q270" s="41">
        <f ca="1">AVERAGE(E270:OFFSET(E270,-(Q$6-1),0))</f>
        <v>6685.75</v>
      </c>
      <c r="R270" s="64">
        <f t="shared" ca="1" si="35"/>
        <v>0</v>
      </c>
    </row>
    <row r="271" spans="1:18" x14ac:dyDescent="0.25">
      <c r="A271" s="47">
        <v>20090609</v>
      </c>
      <c r="B271" s="48">
        <v>6668</v>
      </c>
      <c r="C271" s="48">
        <v>6668</v>
      </c>
      <c r="D271" s="48">
        <v>6390</v>
      </c>
      <c r="E271" s="48">
        <v>6413</v>
      </c>
      <c r="F271" s="49">
        <v>120934</v>
      </c>
      <c r="G271" s="58">
        <f t="shared" si="37"/>
        <v>25</v>
      </c>
      <c r="H271" s="58">
        <f t="shared" si="36"/>
        <v>-255</v>
      </c>
      <c r="I271" s="71">
        <f t="shared" ca="1" si="30"/>
        <v>0</v>
      </c>
      <c r="J271" s="73">
        <f t="shared" ca="1" si="31"/>
        <v>1</v>
      </c>
      <c r="K271" s="74">
        <f t="shared" ca="1" si="32"/>
        <v>-230</v>
      </c>
      <c r="L271" s="79">
        <f t="shared" ca="1" si="33"/>
        <v>2773</v>
      </c>
      <c r="M271" s="63">
        <f t="shared" si="38"/>
        <v>0</v>
      </c>
      <c r="N271" s="40">
        <f ca="1">AVERAGE(M271:OFFSET(M271,-(O$5-1),0))</f>
        <v>0.53333333333333333</v>
      </c>
      <c r="O271" s="64">
        <f t="shared" ca="1" si="34"/>
        <v>0</v>
      </c>
      <c r="P271" s="68">
        <f ca="1">AVERAGE(E271:OFFSET(E271,-(Q$5-1),0))</f>
        <v>6780.9</v>
      </c>
      <c r="Q271" s="41">
        <f ca="1">AVERAGE(E271:OFFSET(E271,-(Q$6-1),0))</f>
        <v>6676.55</v>
      </c>
      <c r="R271" s="64">
        <f t="shared" ca="1" si="35"/>
        <v>0</v>
      </c>
    </row>
    <row r="272" spans="1:18" x14ac:dyDescent="0.25">
      <c r="A272" s="47">
        <v>20090610</v>
      </c>
      <c r="B272" s="48">
        <v>6458</v>
      </c>
      <c r="C272" s="48">
        <v>6504</v>
      </c>
      <c r="D272" s="48">
        <v>6385</v>
      </c>
      <c r="E272" s="48">
        <v>6459</v>
      </c>
      <c r="F272" s="49">
        <v>91260</v>
      </c>
      <c r="G272" s="58">
        <f t="shared" si="37"/>
        <v>45</v>
      </c>
      <c r="H272" s="58">
        <f t="shared" si="36"/>
        <v>1</v>
      </c>
      <c r="I272" s="71">
        <f t="shared" ca="1" si="30"/>
        <v>0</v>
      </c>
      <c r="J272" s="73">
        <f t="shared" ca="1" si="31"/>
        <v>1</v>
      </c>
      <c r="K272" s="74">
        <f t="shared" ca="1" si="32"/>
        <v>46</v>
      </c>
      <c r="L272" s="79">
        <f t="shared" ca="1" si="33"/>
        <v>2819</v>
      </c>
      <c r="M272" s="63">
        <f t="shared" si="38"/>
        <v>1</v>
      </c>
      <c r="N272" s="40">
        <f ca="1">AVERAGE(M272:OFFSET(M272,-(O$5-1),0))</f>
        <v>0.53333333333333333</v>
      </c>
      <c r="O272" s="64">
        <f t="shared" ca="1" si="34"/>
        <v>0</v>
      </c>
      <c r="P272" s="68">
        <f ca="1">AVERAGE(E272:OFFSET(E272,-(Q$5-1),0))</f>
        <v>6762.2</v>
      </c>
      <c r="Q272" s="41">
        <f ca="1">AVERAGE(E272:OFFSET(E272,-(Q$6-1),0))</f>
        <v>6677.15</v>
      </c>
      <c r="R272" s="64">
        <f t="shared" ca="1" si="35"/>
        <v>0</v>
      </c>
    </row>
    <row r="273" spans="1:18" x14ac:dyDescent="0.25">
      <c r="A273" s="47">
        <v>20090611</v>
      </c>
      <c r="B273" s="48">
        <v>6490</v>
      </c>
      <c r="C273" s="48">
        <v>6545</v>
      </c>
      <c r="D273" s="48">
        <v>6335</v>
      </c>
      <c r="E273" s="48">
        <v>6516</v>
      </c>
      <c r="F273" s="49">
        <v>122668</v>
      </c>
      <c r="G273" s="58">
        <f t="shared" si="37"/>
        <v>31</v>
      </c>
      <c r="H273" s="58">
        <f t="shared" si="36"/>
        <v>26</v>
      </c>
      <c r="I273" s="71">
        <f t="shared" ca="1" si="30"/>
        <v>0</v>
      </c>
      <c r="J273" s="73">
        <f t="shared" ca="1" si="31"/>
        <v>1</v>
      </c>
      <c r="K273" s="74">
        <f t="shared" ca="1" si="32"/>
        <v>57</v>
      </c>
      <c r="L273" s="79">
        <f t="shared" ca="1" si="33"/>
        <v>2876</v>
      </c>
      <c r="M273" s="63">
        <f t="shared" si="38"/>
        <v>1</v>
      </c>
      <c r="N273" s="40">
        <f ca="1">AVERAGE(M273:OFFSET(M273,-(O$5-1),0))</f>
        <v>0.6</v>
      </c>
      <c r="O273" s="64">
        <f t="shared" ca="1" si="34"/>
        <v>0</v>
      </c>
      <c r="P273" s="68">
        <f ca="1">AVERAGE(E273:OFFSET(E273,-(Q$5-1),0))</f>
        <v>6720.6</v>
      </c>
      <c r="Q273" s="41">
        <f ca="1">AVERAGE(E273:OFFSET(E273,-(Q$6-1),0))</f>
        <v>6679.5</v>
      </c>
      <c r="R273" s="64">
        <f t="shared" ca="1" si="35"/>
        <v>0</v>
      </c>
    </row>
    <row r="274" spans="1:18" x14ac:dyDescent="0.25">
      <c r="A274" s="47">
        <v>20090612</v>
      </c>
      <c r="B274" s="48">
        <v>6530</v>
      </c>
      <c r="C274" s="48">
        <v>6558</v>
      </c>
      <c r="D274" s="48">
        <v>6411</v>
      </c>
      <c r="E274" s="48">
        <v>6437</v>
      </c>
      <c r="F274" s="49">
        <v>104854</v>
      </c>
      <c r="G274" s="58">
        <f t="shared" si="37"/>
        <v>14</v>
      </c>
      <c r="H274" s="58">
        <f t="shared" si="36"/>
        <v>-93</v>
      </c>
      <c r="I274" s="71">
        <f t="shared" ca="1" si="30"/>
        <v>-1</v>
      </c>
      <c r="J274" s="73">
        <f t="shared" ca="1" si="31"/>
        <v>1</v>
      </c>
      <c r="K274" s="74">
        <f t="shared" ca="1" si="32"/>
        <v>-79</v>
      </c>
      <c r="L274" s="79">
        <f t="shared" ca="1" si="33"/>
        <v>2797</v>
      </c>
      <c r="M274" s="63">
        <f t="shared" si="38"/>
        <v>0</v>
      </c>
      <c r="N274" s="40">
        <f ca="1">AVERAGE(M274:OFFSET(M274,-(O$5-1),0))</f>
        <v>0.53333333333333333</v>
      </c>
      <c r="O274" s="64">
        <f t="shared" ca="1" si="34"/>
        <v>0</v>
      </c>
      <c r="P274" s="68">
        <f ca="1">AVERAGE(E274:OFFSET(E274,-(Q$5-1),0))</f>
        <v>6668.9</v>
      </c>
      <c r="Q274" s="41">
        <f ca="1">AVERAGE(E274:OFFSET(E274,-(Q$6-1),0))</f>
        <v>6685.3</v>
      </c>
      <c r="R274" s="64">
        <f t="shared" ca="1" si="35"/>
        <v>-1</v>
      </c>
    </row>
    <row r="275" spans="1:18" x14ac:dyDescent="0.25">
      <c r="A275" s="47">
        <v>20090615</v>
      </c>
      <c r="B275" s="48">
        <v>6390</v>
      </c>
      <c r="C275" s="48">
        <v>6390</v>
      </c>
      <c r="D275" s="48">
        <v>6174</v>
      </c>
      <c r="E275" s="48">
        <v>6208</v>
      </c>
      <c r="F275" s="49">
        <v>115650</v>
      </c>
      <c r="G275" s="58">
        <f t="shared" si="37"/>
        <v>-47</v>
      </c>
      <c r="H275" s="58">
        <f t="shared" si="36"/>
        <v>-182</v>
      </c>
      <c r="I275" s="71">
        <f t="shared" ca="1" si="30"/>
        <v>0</v>
      </c>
      <c r="J275" s="73">
        <f t="shared" ca="1" si="31"/>
        <v>0</v>
      </c>
      <c r="K275" s="74">
        <f t="shared" ca="1" si="32"/>
        <v>-47</v>
      </c>
      <c r="L275" s="79">
        <f t="shared" ca="1" si="33"/>
        <v>2750</v>
      </c>
      <c r="M275" s="63">
        <f t="shared" si="38"/>
        <v>0</v>
      </c>
      <c r="N275" s="40">
        <f ca="1">AVERAGE(M275:OFFSET(M275,-(O$5-1),0))</f>
        <v>0.46666666666666667</v>
      </c>
      <c r="O275" s="64">
        <f t="shared" ca="1" si="34"/>
        <v>0</v>
      </c>
      <c r="P275" s="68">
        <f ca="1">AVERAGE(E275:OFFSET(E275,-(Q$5-1),0))</f>
        <v>6598.1</v>
      </c>
      <c r="Q275" s="41">
        <f ca="1">AVERAGE(E275:OFFSET(E275,-(Q$6-1),0))</f>
        <v>6671.9</v>
      </c>
      <c r="R275" s="64">
        <f t="shared" ca="1" si="35"/>
        <v>0</v>
      </c>
    </row>
    <row r="276" spans="1:18" x14ac:dyDescent="0.25">
      <c r="A276" s="47">
        <v>20090616</v>
      </c>
      <c r="B276" s="48">
        <v>6173</v>
      </c>
      <c r="C276" s="48">
        <v>6251</v>
      </c>
      <c r="D276" s="48">
        <v>6133</v>
      </c>
      <c r="E276" s="48">
        <v>6208</v>
      </c>
      <c r="F276" s="49">
        <v>98988</v>
      </c>
      <c r="G276" s="58">
        <f t="shared" si="37"/>
        <v>-35</v>
      </c>
      <c r="H276" s="58">
        <f t="shared" si="36"/>
        <v>35</v>
      </c>
      <c r="I276" s="71">
        <f t="shared" ca="1" si="30"/>
        <v>0</v>
      </c>
      <c r="J276" s="73">
        <f t="shared" ca="1" si="31"/>
        <v>0</v>
      </c>
      <c r="K276" s="74">
        <f t="shared" ca="1" si="32"/>
        <v>0</v>
      </c>
      <c r="L276" s="79">
        <f t="shared" ca="1" si="33"/>
        <v>2750</v>
      </c>
      <c r="M276" s="63">
        <f t="shared" si="38"/>
        <v>0</v>
      </c>
      <c r="N276" s="40">
        <f ca="1">AVERAGE(M276:OFFSET(M276,-(O$5-1),0))</f>
        <v>0.4</v>
      </c>
      <c r="O276" s="64">
        <f t="shared" ca="1" si="34"/>
        <v>0</v>
      </c>
      <c r="P276" s="68">
        <f ca="1">AVERAGE(E276:OFFSET(E276,-(Q$5-1),0))</f>
        <v>6529.1</v>
      </c>
      <c r="Q276" s="41">
        <f ca="1">AVERAGE(E276:OFFSET(E276,-(Q$6-1),0))</f>
        <v>6654.25</v>
      </c>
      <c r="R276" s="64">
        <f t="shared" ca="1" si="35"/>
        <v>0</v>
      </c>
    </row>
    <row r="277" spans="1:18" x14ac:dyDescent="0.25">
      <c r="A277" s="47">
        <v>20090617</v>
      </c>
      <c r="B277" s="48">
        <v>6170</v>
      </c>
      <c r="C277" s="48">
        <v>6211</v>
      </c>
      <c r="D277" s="48">
        <v>6106</v>
      </c>
      <c r="E277" s="48">
        <v>6142</v>
      </c>
      <c r="F277" s="49">
        <v>45281</v>
      </c>
      <c r="G277" s="58">
        <f t="shared" si="37"/>
        <v>-38</v>
      </c>
      <c r="H277" s="58">
        <f t="shared" si="36"/>
        <v>-28</v>
      </c>
      <c r="I277" s="71">
        <f t="shared" ca="1" si="30"/>
        <v>0</v>
      </c>
      <c r="J277" s="73">
        <f t="shared" ca="1" si="31"/>
        <v>0</v>
      </c>
      <c r="K277" s="74">
        <f t="shared" ca="1" si="32"/>
        <v>0</v>
      </c>
      <c r="L277" s="79">
        <f t="shared" ca="1" si="33"/>
        <v>2750</v>
      </c>
      <c r="M277" s="63">
        <f t="shared" si="38"/>
        <v>0</v>
      </c>
      <c r="N277" s="40">
        <f ca="1">AVERAGE(M277:OFFSET(M277,-(O$5-1),0))</f>
        <v>0.4</v>
      </c>
      <c r="O277" s="64">
        <f t="shared" ca="1" si="34"/>
        <v>0</v>
      </c>
      <c r="P277" s="68">
        <f ca="1">AVERAGE(E277:OFFSET(E277,-(Q$5-1),0))</f>
        <v>6464.9</v>
      </c>
      <c r="Q277" s="41">
        <f ca="1">AVERAGE(E277:OFFSET(E277,-(Q$6-1),0))</f>
        <v>6626.7</v>
      </c>
      <c r="R277" s="64">
        <f t="shared" ca="1" si="35"/>
        <v>0</v>
      </c>
    </row>
    <row r="278" spans="1:18" x14ac:dyDescent="0.25">
      <c r="A278" s="47">
        <v>20090618</v>
      </c>
      <c r="B278" s="48">
        <v>6130</v>
      </c>
      <c r="C278" s="48">
        <v>6205</v>
      </c>
      <c r="D278" s="48">
        <v>5994</v>
      </c>
      <c r="E278" s="48">
        <v>6090</v>
      </c>
      <c r="F278" s="49">
        <v>124089</v>
      </c>
      <c r="G278" s="58">
        <f t="shared" si="37"/>
        <v>-12</v>
      </c>
      <c r="H278" s="58">
        <f t="shared" si="36"/>
        <v>-40</v>
      </c>
      <c r="I278" s="71">
        <f t="shared" ca="1" si="30"/>
        <v>0</v>
      </c>
      <c r="J278" s="73">
        <f t="shared" ca="1" si="31"/>
        <v>0</v>
      </c>
      <c r="K278" s="74">
        <f t="shared" ca="1" si="32"/>
        <v>0</v>
      </c>
      <c r="L278" s="79">
        <f t="shared" ca="1" si="33"/>
        <v>2750</v>
      </c>
      <c r="M278" s="63">
        <f t="shared" si="38"/>
        <v>0</v>
      </c>
      <c r="N278" s="40">
        <f ca="1">AVERAGE(M278:OFFSET(M278,-(O$5-1),0))</f>
        <v>0.33333333333333331</v>
      </c>
      <c r="O278" s="64">
        <f t="shared" ca="1" si="34"/>
        <v>0</v>
      </c>
      <c r="P278" s="68">
        <f ca="1">AVERAGE(E278:OFFSET(E278,-(Q$5-1),0))</f>
        <v>6394.9</v>
      </c>
      <c r="Q278" s="41">
        <f ca="1">AVERAGE(E278:OFFSET(E278,-(Q$6-1),0))</f>
        <v>6597.8</v>
      </c>
      <c r="R278" s="64">
        <f t="shared" ca="1" si="35"/>
        <v>0</v>
      </c>
    </row>
    <row r="279" spans="1:18" x14ac:dyDescent="0.25">
      <c r="A279" s="47">
        <v>20090619</v>
      </c>
      <c r="B279" s="48">
        <v>6090</v>
      </c>
      <c r="C279" s="48">
        <v>6150</v>
      </c>
      <c r="D279" s="48">
        <v>6045</v>
      </c>
      <c r="E279" s="48">
        <v>6138</v>
      </c>
      <c r="F279" s="49">
        <v>91410</v>
      </c>
      <c r="G279" s="58">
        <f t="shared" si="37"/>
        <v>0</v>
      </c>
      <c r="H279" s="58">
        <f t="shared" si="36"/>
        <v>48</v>
      </c>
      <c r="I279" s="71">
        <f t="shared" ca="1" si="30"/>
        <v>0</v>
      </c>
      <c r="J279" s="73">
        <f t="shared" ca="1" si="31"/>
        <v>0</v>
      </c>
      <c r="K279" s="74">
        <f t="shared" ca="1" si="32"/>
        <v>0</v>
      </c>
      <c r="L279" s="79">
        <f t="shared" ca="1" si="33"/>
        <v>2750</v>
      </c>
      <c r="M279" s="63">
        <f t="shared" si="38"/>
        <v>1</v>
      </c>
      <c r="N279" s="40">
        <f ca="1">AVERAGE(M279:OFFSET(M279,-(O$5-1),0))</f>
        <v>0.33333333333333331</v>
      </c>
      <c r="O279" s="64">
        <f t="shared" ca="1" si="34"/>
        <v>0</v>
      </c>
      <c r="P279" s="68">
        <f ca="1">AVERAGE(E279:OFFSET(E279,-(Q$5-1),0))</f>
        <v>6325.4</v>
      </c>
      <c r="Q279" s="41">
        <f ca="1">AVERAGE(E279:OFFSET(E279,-(Q$6-1),0))</f>
        <v>6571.15</v>
      </c>
      <c r="R279" s="64">
        <f t="shared" ca="1" si="35"/>
        <v>0</v>
      </c>
    </row>
    <row r="280" spans="1:18" x14ac:dyDescent="0.25">
      <c r="A280" s="47">
        <v>20090622</v>
      </c>
      <c r="B280" s="48">
        <v>6137</v>
      </c>
      <c r="C280" s="48">
        <v>6264</v>
      </c>
      <c r="D280" s="48">
        <v>6075</v>
      </c>
      <c r="E280" s="48">
        <v>6206</v>
      </c>
      <c r="F280" s="49">
        <v>96798</v>
      </c>
      <c r="G280" s="58">
        <f t="shared" si="37"/>
        <v>-1</v>
      </c>
      <c r="H280" s="58">
        <f t="shared" si="36"/>
        <v>69</v>
      </c>
      <c r="I280" s="71">
        <f t="shared" ca="1" si="30"/>
        <v>0</v>
      </c>
      <c r="J280" s="73">
        <f t="shared" ca="1" si="31"/>
        <v>0</v>
      </c>
      <c r="K280" s="74">
        <f t="shared" ca="1" si="32"/>
        <v>0</v>
      </c>
      <c r="L280" s="79">
        <f t="shared" ca="1" si="33"/>
        <v>2750</v>
      </c>
      <c r="M280" s="63">
        <f t="shared" si="38"/>
        <v>1</v>
      </c>
      <c r="N280" s="40">
        <f ca="1">AVERAGE(M280:OFFSET(M280,-(O$5-1),0))</f>
        <v>0.4</v>
      </c>
      <c r="O280" s="64">
        <f t="shared" ca="1" si="34"/>
        <v>0</v>
      </c>
      <c r="P280" s="68">
        <f ca="1">AVERAGE(E280:OFFSET(E280,-(Q$5-1),0))</f>
        <v>6281.7</v>
      </c>
      <c r="Q280" s="41">
        <f ca="1">AVERAGE(E280:OFFSET(E280,-(Q$6-1),0))</f>
        <v>6546.85</v>
      </c>
      <c r="R280" s="64">
        <f t="shared" ca="1" si="35"/>
        <v>0</v>
      </c>
    </row>
    <row r="281" spans="1:18" x14ac:dyDescent="0.25">
      <c r="A281" s="47">
        <v>20090623</v>
      </c>
      <c r="B281" s="48">
        <v>6088</v>
      </c>
      <c r="C281" s="48">
        <v>6150</v>
      </c>
      <c r="D281" s="48">
        <v>6059</v>
      </c>
      <c r="E281" s="48">
        <v>6072</v>
      </c>
      <c r="F281" s="49">
        <v>83086</v>
      </c>
      <c r="G281" s="58">
        <f t="shared" si="37"/>
        <v>-118</v>
      </c>
      <c r="H281" s="58">
        <f t="shared" si="36"/>
        <v>-16</v>
      </c>
      <c r="I281" s="71">
        <f t="shared" ca="1" si="30"/>
        <v>0</v>
      </c>
      <c r="J281" s="73">
        <f t="shared" ca="1" si="31"/>
        <v>0</v>
      </c>
      <c r="K281" s="74">
        <f t="shared" ca="1" si="32"/>
        <v>0</v>
      </c>
      <c r="L281" s="79">
        <f t="shared" ca="1" si="33"/>
        <v>2750</v>
      </c>
      <c r="M281" s="63">
        <f t="shared" si="38"/>
        <v>0</v>
      </c>
      <c r="N281" s="40">
        <f ca="1">AVERAGE(M281:OFFSET(M281,-(O$5-1),0))</f>
        <v>0.4</v>
      </c>
      <c r="O281" s="64">
        <f t="shared" ca="1" si="34"/>
        <v>0</v>
      </c>
      <c r="P281" s="68">
        <f ca="1">AVERAGE(E281:OFFSET(E281,-(Q$5-1),0))</f>
        <v>6247.6</v>
      </c>
      <c r="Q281" s="41">
        <f ca="1">AVERAGE(E281:OFFSET(E281,-(Q$6-1),0))</f>
        <v>6514.25</v>
      </c>
      <c r="R281" s="64">
        <f t="shared" ca="1" si="35"/>
        <v>0</v>
      </c>
    </row>
    <row r="282" spans="1:18" x14ac:dyDescent="0.25">
      <c r="A282" s="47">
        <v>20090624</v>
      </c>
      <c r="B282" s="48">
        <v>6089</v>
      </c>
      <c r="C282" s="48">
        <v>6494</v>
      </c>
      <c r="D282" s="48">
        <v>6073</v>
      </c>
      <c r="E282" s="48">
        <v>6311</v>
      </c>
      <c r="F282" s="49">
        <v>143028</v>
      </c>
      <c r="G282" s="58">
        <f t="shared" si="37"/>
        <v>17</v>
      </c>
      <c r="H282" s="58">
        <f t="shared" si="36"/>
        <v>222</v>
      </c>
      <c r="I282" s="71">
        <f t="shared" ca="1" si="30"/>
        <v>0</v>
      </c>
      <c r="J282" s="73">
        <f t="shared" ca="1" si="31"/>
        <v>0</v>
      </c>
      <c r="K282" s="74">
        <f t="shared" ca="1" si="32"/>
        <v>0</v>
      </c>
      <c r="L282" s="79">
        <f t="shared" ca="1" si="33"/>
        <v>2750</v>
      </c>
      <c r="M282" s="63">
        <f t="shared" si="38"/>
        <v>1</v>
      </c>
      <c r="N282" s="40">
        <f ca="1">AVERAGE(M282:OFFSET(M282,-(O$5-1),0))</f>
        <v>0.46666666666666667</v>
      </c>
      <c r="O282" s="64">
        <f t="shared" ca="1" si="34"/>
        <v>0</v>
      </c>
      <c r="P282" s="68">
        <f ca="1">AVERAGE(E282:OFFSET(E282,-(Q$5-1),0))</f>
        <v>6232.8</v>
      </c>
      <c r="Q282" s="41">
        <f ca="1">AVERAGE(E282:OFFSET(E282,-(Q$6-1),0))</f>
        <v>6497.5</v>
      </c>
      <c r="R282" s="64">
        <f t="shared" ca="1" si="35"/>
        <v>0</v>
      </c>
    </row>
    <row r="283" spans="1:18" x14ac:dyDescent="0.25">
      <c r="A283" s="47">
        <v>20090625</v>
      </c>
      <c r="B283" s="48">
        <v>6306</v>
      </c>
      <c r="C283" s="48">
        <v>6427</v>
      </c>
      <c r="D283" s="48">
        <v>6295</v>
      </c>
      <c r="E283" s="48">
        <v>6389</v>
      </c>
      <c r="F283" s="49">
        <v>101697</v>
      </c>
      <c r="G283" s="58">
        <f t="shared" si="37"/>
        <v>-5</v>
      </c>
      <c r="H283" s="58">
        <f t="shared" si="36"/>
        <v>83</v>
      </c>
      <c r="I283" s="71">
        <f t="shared" ca="1" si="30"/>
        <v>0</v>
      </c>
      <c r="J283" s="73">
        <f t="shared" ca="1" si="31"/>
        <v>0</v>
      </c>
      <c r="K283" s="74">
        <f t="shared" ca="1" si="32"/>
        <v>0</v>
      </c>
      <c r="L283" s="79">
        <f t="shared" ca="1" si="33"/>
        <v>2750</v>
      </c>
      <c r="M283" s="63">
        <f t="shared" si="38"/>
        <v>1</v>
      </c>
      <c r="N283" s="40">
        <f ca="1">AVERAGE(M283:OFFSET(M283,-(O$5-1),0))</f>
        <v>0.46666666666666667</v>
      </c>
      <c r="O283" s="64">
        <f t="shared" ca="1" si="34"/>
        <v>0</v>
      </c>
      <c r="P283" s="68">
        <f ca="1">AVERAGE(E283:OFFSET(E283,-(Q$5-1),0))</f>
        <v>6220.1</v>
      </c>
      <c r="Q283" s="41">
        <f ca="1">AVERAGE(E283:OFFSET(E283,-(Q$6-1),0))</f>
        <v>6470.35</v>
      </c>
      <c r="R283" s="64">
        <f t="shared" ca="1" si="35"/>
        <v>0</v>
      </c>
    </row>
    <row r="284" spans="1:18" x14ac:dyDescent="0.25">
      <c r="A284" s="47">
        <v>20090626</v>
      </c>
      <c r="B284" s="48">
        <v>6405</v>
      </c>
      <c r="C284" s="48">
        <v>6432</v>
      </c>
      <c r="D284" s="48">
        <v>6361</v>
      </c>
      <c r="E284" s="48">
        <v>6391</v>
      </c>
      <c r="F284" s="49">
        <v>76133</v>
      </c>
      <c r="G284" s="58">
        <f t="shared" si="37"/>
        <v>16</v>
      </c>
      <c r="H284" s="58">
        <f t="shared" si="36"/>
        <v>-14</v>
      </c>
      <c r="I284" s="71">
        <f t="shared" ca="1" si="30"/>
        <v>0</v>
      </c>
      <c r="J284" s="73">
        <f t="shared" ca="1" si="31"/>
        <v>0</v>
      </c>
      <c r="K284" s="74">
        <f t="shared" ca="1" si="32"/>
        <v>0</v>
      </c>
      <c r="L284" s="79">
        <f t="shared" ca="1" si="33"/>
        <v>2750</v>
      </c>
      <c r="M284" s="63">
        <f t="shared" si="38"/>
        <v>1</v>
      </c>
      <c r="N284" s="40">
        <f ca="1">AVERAGE(M284:OFFSET(M284,-(O$5-1),0))</f>
        <v>0.46666666666666667</v>
      </c>
      <c r="O284" s="64">
        <f t="shared" ca="1" si="34"/>
        <v>0</v>
      </c>
      <c r="P284" s="68">
        <f ca="1">AVERAGE(E284:OFFSET(E284,-(Q$5-1),0))</f>
        <v>6215.5</v>
      </c>
      <c r="Q284" s="41">
        <f ca="1">AVERAGE(E284:OFFSET(E284,-(Q$6-1),0))</f>
        <v>6442.2</v>
      </c>
      <c r="R284" s="64">
        <f t="shared" ca="1" si="35"/>
        <v>0</v>
      </c>
    </row>
    <row r="285" spans="1:18" x14ac:dyDescent="0.25">
      <c r="A285" s="47">
        <v>20090629</v>
      </c>
      <c r="B285" s="48">
        <v>6415</v>
      </c>
      <c r="C285" s="48">
        <v>6436</v>
      </c>
      <c r="D285" s="48">
        <v>6305</v>
      </c>
      <c r="E285" s="48">
        <v>6345</v>
      </c>
      <c r="F285" s="49">
        <v>92593</v>
      </c>
      <c r="G285" s="58">
        <f t="shared" si="37"/>
        <v>24</v>
      </c>
      <c r="H285" s="58">
        <f t="shared" si="36"/>
        <v>-70</v>
      </c>
      <c r="I285" s="71">
        <f t="shared" ca="1" si="30"/>
        <v>0</v>
      </c>
      <c r="J285" s="73">
        <f t="shared" ca="1" si="31"/>
        <v>0</v>
      </c>
      <c r="K285" s="74">
        <f t="shared" ca="1" si="32"/>
        <v>0</v>
      </c>
      <c r="L285" s="79">
        <f t="shared" ca="1" si="33"/>
        <v>2750</v>
      </c>
      <c r="M285" s="63">
        <f t="shared" si="38"/>
        <v>0</v>
      </c>
      <c r="N285" s="40">
        <f ca="1">AVERAGE(M285:OFFSET(M285,-(O$5-1),0))</f>
        <v>0.46666666666666667</v>
      </c>
      <c r="O285" s="64">
        <f t="shared" ca="1" si="34"/>
        <v>0</v>
      </c>
      <c r="P285" s="68">
        <f ca="1">AVERAGE(E285:OFFSET(E285,-(Q$5-1),0))</f>
        <v>6229.2</v>
      </c>
      <c r="Q285" s="41">
        <f ca="1">AVERAGE(E285:OFFSET(E285,-(Q$6-1),0))</f>
        <v>6413.65</v>
      </c>
      <c r="R285" s="64">
        <f t="shared" ca="1" si="35"/>
        <v>0</v>
      </c>
    </row>
    <row r="286" spans="1:18" x14ac:dyDescent="0.25">
      <c r="A286" s="47">
        <v>20090630</v>
      </c>
      <c r="B286" s="48">
        <v>6421</v>
      </c>
      <c r="C286" s="48">
        <v>6450</v>
      </c>
      <c r="D286" s="48">
        <v>6301</v>
      </c>
      <c r="E286" s="48">
        <v>6383</v>
      </c>
      <c r="F286" s="49">
        <v>97549</v>
      </c>
      <c r="G286" s="58">
        <f t="shared" si="37"/>
        <v>76</v>
      </c>
      <c r="H286" s="58">
        <f t="shared" si="36"/>
        <v>-38</v>
      </c>
      <c r="I286" s="71">
        <f t="shared" ca="1" si="30"/>
        <v>0</v>
      </c>
      <c r="J286" s="73">
        <f t="shared" ca="1" si="31"/>
        <v>0</v>
      </c>
      <c r="K286" s="74">
        <f t="shared" ca="1" si="32"/>
        <v>0</v>
      </c>
      <c r="L286" s="79">
        <f t="shared" ca="1" si="33"/>
        <v>2750</v>
      </c>
      <c r="M286" s="63">
        <f t="shared" si="38"/>
        <v>1</v>
      </c>
      <c r="N286" s="40">
        <f ca="1">AVERAGE(M286:OFFSET(M286,-(O$5-1),0))</f>
        <v>0.53333333333333333</v>
      </c>
      <c r="O286" s="64">
        <f t="shared" ca="1" si="34"/>
        <v>0</v>
      </c>
      <c r="P286" s="68">
        <f ca="1">AVERAGE(E286:OFFSET(E286,-(Q$5-1),0))</f>
        <v>6246.7</v>
      </c>
      <c r="Q286" s="41">
        <f ca="1">AVERAGE(E286:OFFSET(E286,-(Q$6-1),0))</f>
        <v>6387.9</v>
      </c>
      <c r="R286" s="64">
        <f t="shared" ca="1" si="35"/>
        <v>0</v>
      </c>
    </row>
    <row r="287" spans="1:18" x14ac:dyDescent="0.25">
      <c r="A287" s="47">
        <v>20090701</v>
      </c>
      <c r="B287" s="48">
        <v>6414</v>
      </c>
      <c r="C287" s="48">
        <v>6546</v>
      </c>
      <c r="D287" s="48">
        <v>6361</v>
      </c>
      <c r="E287" s="48">
        <v>6517</v>
      </c>
      <c r="F287" s="49">
        <v>108188</v>
      </c>
      <c r="G287" s="58">
        <f t="shared" si="37"/>
        <v>31</v>
      </c>
      <c r="H287" s="58">
        <f t="shared" si="36"/>
        <v>103</v>
      </c>
      <c r="I287" s="71">
        <f t="shared" ca="1" si="30"/>
        <v>0</v>
      </c>
      <c r="J287" s="73">
        <f t="shared" ca="1" si="31"/>
        <v>0</v>
      </c>
      <c r="K287" s="74">
        <f t="shared" ca="1" si="32"/>
        <v>0</v>
      </c>
      <c r="L287" s="79">
        <f t="shared" ca="1" si="33"/>
        <v>2750</v>
      </c>
      <c r="M287" s="63">
        <f t="shared" si="38"/>
        <v>1</v>
      </c>
      <c r="N287" s="40">
        <f ca="1">AVERAGE(M287:OFFSET(M287,-(O$5-1),0))</f>
        <v>0.53333333333333333</v>
      </c>
      <c r="O287" s="64">
        <f t="shared" ca="1" si="34"/>
        <v>0</v>
      </c>
      <c r="P287" s="68">
        <f ca="1">AVERAGE(E287:OFFSET(E287,-(Q$5-1),0))</f>
        <v>6284.2</v>
      </c>
      <c r="Q287" s="41">
        <f ca="1">AVERAGE(E287:OFFSET(E287,-(Q$6-1),0))</f>
        <v>6374.55</v>
      </c>
      <c r="R287" s="64">
        <f t="shared" ca="1" si="35"/>
        <v>0</v>
      </c>
    </row>
    <row r="288" spans="1:18" x14ac:dyDescent="0.25">
      <c r="A288" s="47">
        <v>20090702</v>
      </c>
      <c r="B288" s="48">
        <v>6525</v>
      </c>
      <c r="C288" s="48">
        <v>6626</v>
      </c>
      <c r="D288" s="48">
        <v>6517</v>
      </c>
      <c r="E288" s="48">
        <v>6590</v>
      </c>
      <c r="F288" s="49">
        <v>96176</v>
      </c>
      <c r="G288" s="58">
        <f t="shared" si="37"/>
        <v>8</v>
      </c>
      <c r="H288" s="58">
        <f t="shared" si="36"/>
        <v>65</v>
      </c>
      <c r="I288" s="71">
        <f t="shared" ca="1" si="30"/>
        <v>0</v>
      </c>
      <c r="J288" s="73">
        <f t="shared" ca="1" si="31"/>
        <v>0</v>
      </c>
      <c r="K288" s="74">
        <f t="shared" ca="1" si="32"/>
        <v>0</v>
      </c>
      <c r="L288" s="79">
        <f t="shared" ca="1" si="33"/>
        <v>2750</v>
      </c>
      <c r="M288" s="63">
        <f t="shared" si="38"/>
        <v>1</v>
      </c>
      <c r="N288" s="40">
        <f ca="1">AVERAGE(M288:OFFSET(M288,-(O$5-1),0))</f>
        <v>0.53333333333333333</v>
      </c>
      <c r="O288" s="64">
        <f t="shared" ca="1" si="34"/>
        <v>0</v>
      </c>
      <c r="P288" s="68">
        <f ca="1">AVERAGE(E288:OFFSET(E288,-(Q$5-1),0))</f>
        <v>6334.2</v>
      </c>
      <c r="Q288" s="41">
        <f ca="1">AVERAGE(E288:OFFSET(E288,-(Q$6-1),0))</f>
        <v>6364.55</v>
      </c>
      <c r="R288" s="64">
        <f t="shared" ca="1" si="35"/>
        <v>0</v>
      </c>
    </row>
    <row r="289" spans="1:18" x14ac:dyDescent="0.25">
      <c r="A289" s="47">
        <v>20090703</v>
      </c>
      <c r="B289" s="48">
        <v>6547</v>
      </c>
      <c r="C289" s="48">
        <v>6633</v>
      </c>
      <c r="D289" s="48">
        <v>6520</v>
      </c>
      <c r="E289" s="48">
        <v>6602</v>
      </c>
      <c r="F289" s="49">
        <v>91558</v>
      </c>
      <c r="G289" s="58">
        <f t="shared" si="37"/>
        <v>-43</v>
      </c>
      <c r="H289" s="58">
        <f t="shared" si="36"/>
        <v>55</v>
      </c>
      <c r="I289" s="71">
        <f t="shared" ca="1" si="30"/>
        <v>1</v>
      </c>
      <c r="J289" s="73">
        <f t="shared" ca="1" si="31"/>
        <v>0</v>
      </c>
      <c r="K289" s="74">
        <f t="shared" ca="1" si="32"/>
        <v>0</v>
      </c>
      <c r="L289" s="79">
        <f t="shared" ca="1" si="33"/>
        <v>2750</v>
      </c>
      <c r="M289" s="63">
        <f t="shared" si="38"/>
        <v>1</v>
      </c>
      <c r="N289" s="40">
        <f ca="1">AVERAGE(M289:OFFSET(M289,-(O$5-1),0))</f>
        <v>0.6</v>
      </c>
      <c r="O289" s="64">
        <f t="shared" ca="1" si="34"/>
        <v>0</v>
      </c>
      <c r="P289" s="68">
        <f ca="1">AVERAGE(E289:OFFSET(E289,-(Q$5-1),0))</f>
        <v>6380.6</v>
      </c>
      <c r="Q289" s="41">
        <f ca="1">AVERAGE(E289:OFFSET(E289,-(Q$6-1),0))</f>
        <v>6353</v>
      </c>
      <c r="R289" s="64">
        <f t="shared" ca="1" si="35"/>
        <v>1</v>
      </c>
    </row>
    <row r="290" spans="1:18" x14ac:dyDescent="0.25">
      <c r="A290" s="47">
        <v>20090706</v>
      </c>
      <c r="B290" s="48">
        <v>6619</v>
      </c>
      <c r="C290" s="48">
        <v>6631</v>
      </c>
      <c r="D290" s="48">
        <v>6527</v>
      </c>
      <c r="E290" s="48">
        <v>6588</v>
      </c>
      <c r="F290" s="49">
        <v>90726</v>
      </c>
      <c r="G290" s="58">
        <f t="shared" si="37"/>
        <v>17</v>
      </c>
      <c r="H290" s="58">
        <f t="shared" si="36"/>
        <v>-31</v>
      </c>
      <c r="I290" s="71">
        <f t="shared" ca="1" si="30"/>
        <v>0</v>
      </c>
      <c r="J290" s="73">
        <f t="shared" ca="1" si="31"/>
        <v>1</v>
      </c>
      <c r="K290" s="74">
        <f t="shared" ca="1" si="32"/>
        <v>-31</v>
      </c>
      <c r="L290" s="79">
        <f t="shared" ca="1" si="33"/>
        <v>2719</v>
      </c>
      <c r="M290" s="63">
        <f t="shared" si="38"/>
        <v>0</v>
      </c>
      <c r="N290" s="40">
        <f ca="1">AVERAGE(M290:OFFSET(M290,-(O$5-1),0))</f>
        <v>0.6</v>
      </c>
      <c r="O290" s="64">
        <f t="shared" ca="1" si="34"/>
        <v>0</v>
      </c>
      <c r="P290" s="68">
        <f ca="1">AVERAGE(E290:OFFSET(E290,-(Q$5-1),0))</f>
        <v>6418.8</v>
      </c>
      <c r="Q290" s="41">
        <f ca="1">AVERAGE(E290:OFFSET(E290,-(Q$6-1),0))</f>
        <v>6350.25</v>
      </c>
      <c r="R290" s="64">
        <f t="shared" ca="1" si="35"/>
        <v>0</v>
      </c>
    </row>
    <row r="291" spans="1:18" x14ac:dyDescent="0.25">
      <c r="A291" s="47">
        <v>20090707</v>
      </c>
      <c r="B291" s="48">
        <v>6588</v>
      </c>
      <c r="C291" s="48">
        <v>6710</v>
      </c>
      <c r="D291" s="48">
        <v>6578</v>
      </c>
      <c r="E291" s="48">
        <v>6665</v>
      </c>
      <c r="F291" s="49">
        <v>97559</v>
      </c>
      <c r="G291" s="58">
        <f t="shared" si="37"/>
        <v>0</v>
      </c>
      <c r="H291" s="58">
        <f t="shared" si="36"/>
        <v>77</v>
      </c>
      <c r="I291" s="71">
        <f t="shared" ca="1" si="30"/>
        <v>0</v>
      </c>
      <c r="J291" s="73">
        <f t="shared" ca="1" si="31"/>
        <v>1</v>
      </c>
      <c r="K291" s="74">
        <f t="shared" ca="1" si="32"/>
        <v>77</v>
      </c>
      <c r="L291" s="79">
        <f t="shared" ca="1" si="33"/>
        <v>2796</v>
      </c>
      <c r="M291" s="63">
        <f t="shared" si="38"/>
        <v>1</v>
      </c>
      <c r="N291" s="40">
        <f ca="1">AVERAGE(M291:OFFSET(M291,-(O$5-1),0))</f>
        <v>0.66666666666666663</v>
      </c>
      <c r="O291" s="64">
        <f t="shared" ca="1" si="34"/>
        <v>0</v>
      </c>
      <c r="P291" s="68">
        <f ca="1">AVERAGE(E291:OFFSET(E291,-(Q$5-1),0))</f>
        <v>6478.1</v>
      </c>
      <c r="Q291" s="41">
        <f ca="1">AVERAGE(E291:OFFSET(E291,-(Q$6-1),0))</f>
        <v>6362.85</v>
      </c>
      <c r="R291" s="64">
        <f t="shared" ca="1" si="35"/>
        <v>0</v>
      </c>
    </row>
    <row r="292" spans="1:18" x14ac:dyDescent="0.25">
      <c r="A292" s="47">
        <v>20090708</v>
      </c>
      <c r="B292" s="48">
        <v>6621</v>
      </c>
      <c r="C292" s="48">
        <v>6637</v>
      </c>
      <c r="D292" s="48">
        <v>6558</v>
      </c>
      <c r="E292" s="48">
        <v>6627</v>
      </c>
      <c r="F292" s="49">
        <v>92427</v>
      </c>
      <c r="G292" s="58">
        <f t="shared" si="37"/>
        <v>-44</v>
      </c>
      <c r="H292" s="58">
        <f t="shared" si="36"/>
        <v>6</v>
      </c>
      <c r="I292" s="71">
        <f t="shared" ca="1" si="30"/>
        <v>0</v>
      </c>
      <c r="J292" s="73">
        <f t="shared" ca="1" si="31"/>
        <v>1</v>
      </c>
      <c r="K292" s="74">
        <f t="shared" ca="1" si="32"/>
        <v>-38</v>
      </c>
      <c r="L292" s="79">
        <f t="shared" ca="1" si="33"/>
        <v>2758</v>
      </c>
      <c r="M292" s="63">
        <f t="shared" si="38"/>
        <v>0</v>
      </c>
      <c r="N292" s="40">
        <f ca="1">AVERAGE(M292:OFFSET(M292,-(O$5-1),0))</f>
        <v>0.66666666666666663</v>
      </c>
      <c r="O292" s="64">
        <f t="shared" ca="1" si="34"/>
        <v>0</v>
      </c>
      <c r="P292" s="68">
        <f ca="1">AVERAGE(E292:OFFSET(E292,-(Q$5-1),0))</f>
        <v>6509.7</v>
      </c>
      <c r="Q292" s="41">
        <f ca="1">AVERAGE(E292:OFFSET(E292,-(Q$6-1),0))</f>
        <v>6371.25</v>
      </c>
      <c r="R292" s="64">
        <f t="shared" ca="1" si="35"/>
        <v>0</v>
      </c>
    </row>
    <row r="293" spans="1:18" x14ac:dyDescent="0.25">
      <c r="A293" s="47">
        <v>20090709</v>
      </c>
      <c r="B293" s="48">
        <v>6627</v>
      </c>
      <c r="C293" s="48">
        <v>6778</v>
      </c>
      <c r="D293" s="48">
        <v>6625</v>
      </c>
      <c r="E293" s="48">
        <v>6724</v>
      </c>
      <c r="F293" s="49">
        <v>101366</v>
      </c>
      <c r="G293" s="58">
        <f t="shared" si="37"/>
        <v>0</v>
      </c>
      <c r="H293" s="58">
        <f t="shared" si="36"/>
        <v>97</v>
      </c>
      <c r="I293" s="71">
        <f t="shared" ca="1" si="30"/>
        <v>0</v>
      </c>
      <c r="J293" s="73">
        <f t="shared" ca="1" si="31"/>
        <v>1</v>
      </c>
      <c r="K293" s="74">
        <f t="shared" ca="1" si="32"/>
        <v>97</v>
      </c>
      <c r="L293" s="79">
        <f t="shared" ca="1" si="33"/>
        <v>2855</v>
      </c>
      <c r="M293" s="63">
        <f t="shared" si="38"/>
        <v>1</v>
      </c>
      <c r="N293" s="40">
        <f ca="1">AVERAGE(M293:OFFSET(M293,-(O$5-1),0))</f>
        <v>0.73333333333333328</v>
      </c>
      <c r="O293" s="64">
        <f t="shared" ca="1" si="34"/>
        <v>0</v>
      </c>
      <c r="P293" s="68">
        <f ca="1">AVERAGE(E293:OFFSET(E293,-(Q$5-1),0))</f>
        <v>6543.2</v>
      </c>
      <c r="Q293" s="41">
        <f ca="1">AVERAGE(E293:OFFSET(E293,-(Q$6-1),0))</f>
        <v>6381.65</v>
      </c>
      <c r="R293" s="64">
        <f t="shared" ca="1" si="35"/>
        <v>0</v>
      </c>
    </row>
    <row r="294" spans="1:18" x14ac:dyDescent="0.25">
      <c r="A294" s="47">
        <v>20090710</v>
      </c>
      <c r="B294" s="48">
        <v>6735</v>
      </c>
      <c r="C294" s="48">
        <v>6755</v>
      </c>
      <c r="D294" s="48">
        <v>6676</v>
      </c>
      <c r="E294" s="48">
        <v>6755</v>
      </c>
      <c r="F294" s="49">
        <v>73581</v>
      </c>
      <c r="G294" s="58">
        <f t="shared" si="37"/>
        <v>11</v>
      </c>
      <c r="H294" s="58">
        <f t="shared" si="36"/>
        <v>20</v>
      </c>
      <c r="I294" s="71">
        <f t="shared" ca="1" si="30"/>
        <v>0</v>
      </c>
      <c r="J294" s="73">
        <f t="shared" ca="1" si="31"/>
        <v>1</v>
      </c>
      <c r="K294" s="74">
        <f t="shared" ca="1" si="32"/>
        <v>31</v>
      </c>
      <c r="L294" s="79">
        <f t="shared" ca="1" si="33"/>
        <v>2886</v>
      </c>
      <c r="M294" s="63">
        <f t="shared" si="38"/>
        <v>1</v>
      </c>
      <c r="N294" s="40">
        <f ca="1">AVERAGE(M294:OFFSET(M294,-(O$5-1),0))</f>
        <v>0.73333333333333328</v>
      </c>
      <c r="O294" s="64">
        <f t="shared" ca="1" si="34"/>
        <v>0</v>
      </c>
      <c r="P294" s="68">
        <f ca="1">AVERAGE(E294:OFFSET(E294,-(Q$5-1),0))</f>
        <v>6579.6</v>
      </c>
      <c r="Q294" s="41">
        <f ca="1">AVERAGE(E294:OFFSET(E294,-(Q$6-1),0))</f>
        <v>6397.55</v>
      </c>
      <c r="R294" s="64">
        <f t="shared" ca="1" si="35"/>
        <v>0</v>
      </c>
    </row>
    <row r="295" spans="1:18" x14ac:dyDescent="0.25">
      <c r="A295" s="47">
        <v>20090713</v>
      </c>
      <c r="B295" s="48">
        <v>6739</v>
      </c>
      <c r="C295" s="48">
        <v>6765</v>
      </c>
      <c r="D295" s="48">
        <v>6443</v>
      </c>
      <c r="E295" s="48">
        <v>6469</v>
      </c>
      <c r="F295" s="49">
        <v>118983</v>
      </c>
      <c r="G295" s="58">
        <f t="shared" si="37"/>
        <v>-16</v>
      </c>
      <c r="H295" s="58">
        <f t="shared" si="36"/>
        <v>-270</v>
      </c>
      <c r="I295" s="71">
        <f t="shared" ca="1" si="30"/>
        <v>0</v>
      </c>
      <c r="J295" s="73">
        <f t="shared" ca="1" si="31"/>
        <v>1</v>
      </c>
      <c r="K295" s="74">
        <f t="shared" ca="1" si="32"/>
        <v>-286</v>
      </c>
      <c r="L295" s="79">
        <f t="shared" ca="1" si="33"/>
        <v>2600</v>
      </c>
      <c r="M295" s="63">
        <f t="shared" si="38"/>
        <v>0</v>
      </c>
      <c r="N295" s="40">
        <f ca="1">AVERAGE(M295:OFFSET(M295,-(O$5-1),0))</f>
        <v>0.66666666666666663</v>
      </c>
      <c r="O295" s="64">
        <f t="shared" ca="1" si="34"/>
        <v>0</v>
      </c>
      <c r="P295" s="68">
        <f ca="1">AVERAGE(E295:OFFSET(E295,-(Q$5-1),0))</f>
        <v>6592</v>
      </c>
      <c r="Q295" s="41">
        <f ca="1">AVERAGE(E295:OFFSET(E295,-(Q$6-1),0))</f>
        <v>6410.6</v>
      </c>
      <c r="R295" s="64">
        <f t="shared" ca="1" si="35"/>
        <v>0</v>
      </c>
    </row>
    <row r="296" spans="1:18" x14ac:dyDescent="0.25">
      <c r="A296" s="47">
        <v>20090714</v>
      </c>
      <c r="B296" s="48">
        <v>6540</v>
      </c>
      <c r="C296" s="48">
        <v>6609</v>
      </c>
      <c r="D296" s="48">
        <v>6507</v>
      </c>
      <c r="E296" s="48">
        <v>6580</v>
      </c>
      <c r="F296" s="49">
        <v>74525</v>
      </c>
      <c r="G296" s="58">
        <f t="shared" si="37"/>
        <v>71</v>
      </c>
      <c r="H296" s="58">
        <f t="shared" si="36"/>
        <v>40</v>
      </c>
      <c r="I296" s="71">
        <f t="shared" ca="1" si="30"/>
        <v>0</v>
      </c>
      <c r="J296" s="73">
        <f t="shared" ca="1" si="31"/>
        <v>1</v>
      </c>
      <c r="K296" s="74">
        <f t="shared" ca="1" si="32"/>
        <v>111</v>
      </c>
      <c r="L296" s="79">
        <f t="shared" ca="1" si="33"/>
        <v>2711</v>
      </c>
      <c r="M296" s="63">
        <f t="shared" si="38"/>
        <v>1</v>
      </c>
      <c r="N296" s="40">
        <f ca="1">AVERAGE(M296:OFFSET(M296,-(O$5-1),0))</f>
        <v>0.73333333333333328</v>
      </c>
      <c r="O296" s="64">
        <f t="shared" ca="1" si="34"/>
        <v>0</v>
      </c>
      <c r="P296" s="68">
        <f ca="1">AVERAGE(E296:OFFSET(E296,-(Q$5-1),0))</f>
        <v>6611.7</v>
      </c>
      <c r="Q296" s="41">
        <f ca="1">AVERAGE(E296:OFFSET(E296,-(Q$6-1),0))</f>
        <v>6429.2</v>
      </c>
      <c r="R296" s="64">
        <f t="shared" ca="1" si="35"/>
        <v>0</v>
      </c>
    </row>
    <row r="297" spans="1:18" x14ac:dyDescent="0.25">
      <c r="A297" s="47">
        <v>20090715</v>
      </c>
      <c r="B297" s="48">
        <v>6630</v>
      </c>
      <c r="C297" s="48">
        <v>6782</v>
      </c>
      <c r="D297" s="48">
        <v>6625</v>
      </c>
      <c r="E297" s="48">
        <v>6763</v>
      </c>
      <c r="F297" s="49">
        <v>65479</v>
      </c>
      <c r="G297" s="58">
        <f t="shared" si="37"/>
        <v>50</v>
      </c>
      <c r="H297" s="58">
        <f t="shared" si="36"/>
        <v>133</v>
      </c>
      <c r="I297" s="71">
        <f t="shared" ca="1" si="30"/>
        <v>0</v>
      </c>
      <c r="J297" s="73">
        <f t="shared" ca="1" si="31"/>
        <v>1</v>
      </c>
      <c r="K297" s="74">
        <f t="shared" ca="1" si="32"/>
        <v>183</v>
      </c>
      <c r="L297" s="79">
        <f t="shared" ca="1" si="33"/>
        <v>2894</v>
      </c>
      <c r="M297" s="63">
        <f t="shared" si="38"/>
        <v>1</v>
      </c>
      <c r="N297" s="40">
        <f ca="1">AVERAGE(M297:OFFSET(M297,-(O$5-1),0))</f>
        <v>0.73333333333333328</v>
      </c>
      <c r="O297" s="64">
        <f t="shared" ca="1" si="34"/>
        <v>0</v>
      </c>
      <c r="P297" s="68">
        <f ca="1">AVERAGE(E297:OFFSET(E297,-(Q$5-1),0))</f>
        <v>6636.3</v>
      </c>
      <c r="Q297" s="41">
        <f ca="1">AVERAGE(E297:OFFSET(E297,-(Q$6-1),0))</f>
        <v>6460.25</v>
      </c>
      <c r="R297" s="64">
        <f t="shared" ca="1" si="35"/>
        <v>0</v>
      </c>
    </row>
    <row r="298" spans="1:18" x14ac:dyDescent="0.25">
      <c r="A298" s="47">
        <v>20090716</v>
      </c>
      <c r="B298" s="48">
        <v>6748</v>
      </c>
      <c r="C298" s="48">
        <v>6785</v>
      </c>
      <c r="D298" s="48">
        <v>6661</v>
      </c>
      <c r="E298" s="48">
        <v>6709</v>
      </c>
      <c r="F298" s="49">
        <v>90123</v>
      </c>
      <c r="G298" s="58">
        <f t="shared" si="37"/>
        <v>-15</v>
      </c>
      <c r="H298" s="58">
        <f t="shared" si="36"/>
        <v>-39</v>
      </c>
      <c r="I298" s="71">
        <f t="shared" ca="1" si="30"/>
        <v>0</v>
      </c>
      <c r="J298" s="73">
        <f t="shared" ca="1" si="31"/>
        <v>1</v>
      </c>
      <c r="K298" s="74">
        <f t="shared" ca="1" si="32"/>
        <v>-54</v>
      </c>
      <c r="L298" s="79">
        <f t="shared" ca="1" si="33"/>
        <v>2840</v>
      </c>
      <c r="M298" s="63">
        <f t="shared" si="38"/>
        <v>0</v>
      </c>
      <c r="N298" s="40">
        <f ca="1">AVERAGE(M298:OFFSET(M298,-(O$5-1),0))</f>
        <v>0.66666666666666663</v>
      </c>
      <c r="O298" s="64">
        <f t="shared" ca="1" si="34"/>
        <v>0</v>
      </c>
      <c r="P298" s="68">
        <f ca="1">AVERAGE(E298:OFFSET(E298,-(Q$5-1),0))</f>
        <v>6648.2</v>
      </c>
      <c r="Q298" s="41">
        <f ca="1">AVERAGE(E298:OFFSET(E298,-(Q$6-1),0))</f>
        <v>6491.2</v>
      </c>
      <c r="R298" s="64">
        <f t="shared" ca="1" si="35"/>
        <v>0</v>
      </c>
    </row>
    <row r="299" spans="1:18" x14ac:dyDescent="0.25">
      <c r="A299" s="47">
        <v>20090717</v>
      </c>
      <c r="B299" s="48">
        <v>6736</v>
      </c>
      <c r="C299" s="48">
        <v>6802</v>
      </c>
      <c r="D299" s="48">
        <v>6700</v>
      </c>
      <c r="E299" s="48">
        <v>6756</v>
      </c>
      <c r="F299" s="49">
        <v>79822</v>
      </c>
      <c r="G299" s="58">
        <f t="shared" si="37"/>
        <v>27</v>
      </c>
      <c r="H299" s="58">
        <f t="shared" si="36"/>
        <v>20</v>
      </c>
      <c r="I299" s="71">
        <f t="shared" ca="1" si="30"/>
        <v>0</v>
      </c>
      <c r="J299" s="73">
        <f t="shared" ca="1" si="31"/>
        <v>1</v>
      </c>
      <c r="K299" s="74">
        <f t="shared" ca="1" si="32"/>
        <v>47</v>
      </c>
      <c r="L299" s="79">
        <f t="shared" ca="1" si="33"/>
        <v>2887</v>
      </c>
      <c r="M299" s="63">
        <f t="shared" si="38"/>
        <v>1</v>
      </c>
      <c r="N299" s="40">
        <f ca="1">AVERAGE(M299:OFFSET(M299,-(O$5-1),0))</f>
        <v>0.66666666666666663</v>
      </c>
      <c r="O299" s="64">
        <f t="shared" ca="1" si="34"/>
        <v>0</v>
      </c>
      <c r="P299" s="68">
        <f ca="1">AVERAGE(E299:OFFSET(E299,-(Q$5-1),0))</f>
        <v>6663.6</v>
      </c>
      <c r="Q299" s="41">
        <f ca="1">AVERAGE(E299:OFFSET(E299,-(Q$6-1),0))</f>
        <v>6522.1</v>
      </c>
      <c r="R299" s="64">
        <f t="shared" ca="1" si="35"/>
        <v>0</v>
      </c>
    </row>
    <row r="300" spans="1:18" x14ac:dyDescent="0.25">
      <c r="A300" s="47">
        <v>20090720</v>
      </c>
      <c r="B300" s="48">
        <v>6839</v>
      </c>
      <c r="C300" s="48">
        <v>6884</v>
      </c>
      <c r="D300" s="48">
        <v>6758</v>
      </c>
      <c r="E300" s="48">
        <v>6859</v>
      </c>
      <c r="F300" s="49">
        <v>86215</v>
      </c>
      <c r="G300" s="58">
        <f t="shared" si="37"/>
        <v>83</v>
      </c>
      <c r="H300" s="58">
        <f t="shared" si="36"/>
        <v>20</v>
      </c>
      <c r="I300" s="71">
        <f t="shared" ca="1" si="30"/>
        <v>0</v>
      </c>
      <c r="J300" s="73">
        <f t="shared" ca="1" si="31"/>
        <v>1</v>
      </c>
      <c r="K300" s="74">
        <f t="shared" ca="1" si="32"/>
        <v>103</v>
      </c>
      <c r="L300" s="79">
        <f t="shared" ca="1" si="33"/>
        <v>2990</v>
      </c>
      <c r="M300" s="63">
        <f t="shared" si="38"/>
        <v>1</v>
      </c>
      <c r="N300" s="40">
        <f ca="1">AVERAGE(M300:OFFSET(M300,-(O$5-1),0))</f>
        <v>0.73333333333333328</v>
      </c>
      <c r="O300" s="64">
        <f t="shared" ca="1" si="34"/>
        <v>0</v>
      </c>
      <c r="P300" s="68">
        <f ca="1">AVERAGE(E300:OFFSET(E300,-(Q$5-1),0))</f>
        <v>6690.7</v>
      </c>
      <c r="Q300" s="41">
        <f ca="1">AVERAGE(E300:OFFSET(E300,-(Q$6-1),0))</f>
        <v>6554.75</v>
      </c>
      <c r="R300" s="64">
        <f t="shared" ca="1" si="35"/>
        <v>0</v>
      </c>
    </row>
    <row r="301" spans="1:18" x14ac:dyDescent="0.25">
      <c r="A301" s="47">
        <v>20090721</v>
      </c>
      <c r="B301" s="48">
        <v>6900</v>
      </c>
      <c r="C301" s="48">
        <v>6912</v>
      </c>
      <c r="D301" s="48">
        <v>6795</v>
      </c>
      <c r="E301" s="48">
        <v>6874</v>
      </c>
      <c r="F301" s="49">
        <v>91335</v>
      </c>
      <c r="G301" s="58">
        <f t="shared" si="37"/>
        <v>41</v>
      </c>
      <c r="H301" s="58">
        <f t="shared" si="36"/>
        <v>-26</v>
      </c>
      <c r="I301" s="71">
        <f t="shared" ca="1" si="30"/>
        <v>0</v>
      </c>
      <c r="J301" s="73">
        <f t="shared" ca="1" si="31"/>
        <v>1</v>
      </c>
      <c r="K301" s="74">
        <f t="shared" ca="1" si="32"/>
        <v>15</v>
      </c>
      <c r="L301" s="79">
        <f t="shared" ca="1" si="33"/>
        <v>3005</v>
      </c>
      <c r="M301" s="63">
        <f t="shared" si="38"/>
        <v>1</v>
      </c>
      <c r="N301" s="40">
        <f ca="1">AVERAGE(M301:OFFSET(M301,-(O$5-1),0))</f>
        <v>0.73333333333333328</v>
      </c>
      <c r="O301" s="64">
        <f t="shared" ca="1" si="34"/>
        <v>0</v>
      </c>
      <c r="P301" s="68">
        <f ca="1">AVERAGE(E301:OFFSET(E301,-(Q$5-1),0))</f>
        <v>6711.6</v>
      </c>
      <c r="Q301" s="41">
        <f ca="1">AVERAGE(E301:OFFSET(E301,-(Q$6-1),0))</f>
        <v>6594.85</v>
      </c>
      <c r="R301" s="64">
        <f t="shared" ca="1" si="35"/>
        <v>0</v>
      </c>
    </row>
    <row r="302" spans="1:18" ht="17.25" thickBot="1" x14ac:dyDescent="0.3">
      <c r="A302" s="53">
        <v>20090722</v>
      </c>
      <c r="B302" s="54">
        <v>6870</v>
      </c>
      <c r="C302" s="54">
        <v>6959</v>
      </c>
      <c r="D302" s="54">
        <v>6847</v>
      </c>
      <c r="E302" s="54">
        <v>6885</v>
      </c>
      <c r="F302" s="55">
        <v>93603</v>
      </c>
      <c r="G302" s="59">
        <f t="shared" si="37"/>
        <v>-4</v>
      </c>
      <c r="H302" s="59">
        <f t="shared" si="36"/>
        <v>15</v>
      </c>
      <c r="I302" s="72">
        <f t="shared" ca="1" si="30"/>
        <v>0</v>
      </c>
      <c r="J302" s="103">
        <f t="shared" ca="1" si="31"/>
        <v>1</v>
      </c>
      <c r="K302" s="74">
        <f t="shared" ca="1" si="32"/>
        <v>11</v>
      </c>
      <c r="L302" s="108">
        <f t="shared" ca="1" si="33"/>
        <v>3016</v>
      </c>
      <c r="M302" s="65">
        <f t="shared" si="38"/>
        <v>1</v>
      </c>
      <c r="N302" s="42">
        <f ca="1">AVERAGE(M302:OFFSET(M302,-(O$5-1),0))</f>
        <v>0.73333333333333328</v>
      </c>
      <c r="O302" s="66">
        <f t="shared" ca="1" si="34"/>
        <v>0</v>
      </c>
      <c r="P302" s="69">
        <f ca="1">AVERAGE(E302:OFFSET(E302,-(Q$5-1),0))</f>
        <v>6737.4</v>
      </c>
      <c r="Q302" s="43">
        <f ca="1">AVERAGE(E302:OFFSET(E302,-(Q$6-1),0))</f>
        <v>6623.55</v>
      </c>
      <c r="R302" s="66">
        <f t="shared" ca="1" si="35"/>
        <v>0</v>
      </c>
    </row>
  </sheetData>
  <mergeCells count="9">
    <mergeCell ref="S53:S67"/>
    <mergeCell ref="S52:T52"/>
    <mergeCell ref="A1:F1"/>
    <mergeCell ref="M1:O1"/>
    <mergeCell ref="N4:O4"/>
    <mergeCell ref="K1:L1"/>
    <mergeCell ref="K4:L4"/>
    <mergeCell ref="P4:Q4"/>
    <mergeCell ref="P1:R1"/>
  </mergeCells>
  <phoneticPr fontId="1" type="noConversion"/>
  <conditionalFormatting sqref="U53:AD68">
    <cfRule type="colorScale" priority="1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30" r:id="rId3" name="CommandButton1">
          <controlPr defaultSize="0" autoLine="0" r:id="rId4">
            <anchor moveWithCells="1">
              <from>
                <xdr:col>18</xdr:col>
                <xdr:colOff>19050</xdr:colOff>
                <xdr:row>52</xdr:row>
                <xdr:rowOff>19050</xdr:rowOff>
              </from>
              <to>
                <xdr:col>19</xdr:col>
                <xdr:colOff>0</xdr:colOff>
                <xdr:row>53</xdr:row>
                <xdr:rowOff>200025</xdr:rowOff>
              </to>
            </anchor>
          </controlPr>
        </control>
      </mc:Choice>
      <mc:Fallback>
        <control shapeId="103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U18"/>
  <sheetViews>
    <sheetView workbookViewId="0">
      <selection activeCell="N9" sqref="N9"/>
    </sheetView>
  </sheetViews>
  <sheetFormatPr defaultRowHeight="16.5" x14ac:dyDescent="0.25"/>
  <cols>
    <col min="6" max="6" width="10.625" customWidth="1"/>
    <col min="8" max="8" width="11.25" customWidth="1"/>
  </cols>
  <sheetData>
    <row r="1" spans="1:21" x14ac:dyDescent="0.25">
      <c r="A1" t="s">
        <v>38</v>
      </c>
      <c r="F1" s="127" t="s">
        <v>47</v>
      </c>
      <c r="G1" s="127"/>
      <c r="H1" s="127"/>
      <c r="I1" s="127" t="s">
        <v>48</v>
      </c>
      <c r="J1" s="127"/>
      <c r="K1" s="127"/>
      <c r="L1" s="127"/>
      <c r="M1" s="127" t="s">
        <v>53</v>
      </c>
      <c r="N1" s="127"/>
      <c r="O1" s="127"/>
      <c r="P1" s="127"/>
      <c r="Q1" s="127" t="s">
        <v>58</v>
      </c>
      <c r="R1" s="127"/>
      <c r="S1" s="127"/>
      <c r="T1" s="127"/>
      <c r="U1" s="127"/>
    </row>
    <row r="2" spans="1:21" x14ac:dyDescent="0.25">
      <c r="A2" t="s">
        <v>39</v>
      </c>
      <c r="B2" t="s">
        <v>40</v>
      </c>
      <c r="C2" t="s">
        <v>41</v>
      </c>
      <c r="D2" t="s">
        <v>42</v>
      </c>
      <c r="E2" t="s">
        <v>43</v>
      </c>
      <c r="F2" s="91" t="s">
        <v>44</v>
      </c>
      <c r="G2" s="91" t="s">
        <v>45</v>
      </c>
      <c r="H2" s="91" t="s">
        <v>46</v>
      </c>
      <c r="I2" s="92" t="s">
        <v>49</v>
      </c>
      <c r="J2" s="92" t="s">
        <v>50</v>
      </c>
      <c r="K2" s="92" t="s">
        <v>51</v>
      </c>
      <c r="L2" s="92" t="s">
        <v>52</v>
      </c>
      <c r="M2" s="92" t="s">
        <v>54</v>
      </c>
      <c r="N2" s="92" t="s">
        <v>55</v>
      </c>
      <c r="O2" s="92" t="s">
        <v>56</v>
      </c>
      <c r="P2" s="92" t="s">
        <v>57</v>
      </c>
      <c r="Q2" s="92">
        <v>-2</v>
      </c>
      <c r="R2" s="92">
        <v>-1</v>
      </c>
      <c r="S2" s="92">
        <v>0</v>
      </c>
      <c r="T2" s="92">
        <v>1</v>
      </c>
      <c r="U2" s="91">
        <v>2</v>
      </c>
    </row>
    <row r="3" spans="1:21" x14ac:dyDescent="0.25">
      <c r="F3" s="91"/>
      <c r="G3" s="91"/>
      <c r="H3" s="91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1"/>
    </row>
    <row r="4" spans="1:21" x14ac:dyDescent="0.25">
      <c r="A4">
        <v>1</v>
      </c>
      <c r="B4">
        <v>96</v>
      </c>
      <c r="E4">
        <v>100</v>
      </c>
    </row>
    <row r="5" spans="1:21" x14ac:dyDescent="0.25">
      <c r="A5">
        <v>2</v>
      </c>
      <c r="B5">
        <v>100</v>
      </c>
      <c r="E5">
        <v>105</v>
      </c>
      <c r="F5">
        <f>E5-E4</f>
        <v>5</v>
      </c>
      <c r="G5">
        <f>E5-B5</f>
        <v>5</v>
      </c>
      <c r="H5">
        <f>B5-E4</f>
        <v>0</v>
      </c>
    </row>
    <row r="6" spans="1:21" x14ac:dyDescent="0.25">
      <c r="A6">
        <v>3</v>
      </c>
      <c r="B6">
        <v>105</v>
      </c>
      <c r="E6">
        <v>102</v>
      </c>
      <c r="F6">
        <f t="shared" ref="F6:F8" si="0">E6-E5</f>
        <v>-3</v>
      </c>
      <c r="G6">
        <f t="shared" ref="G6:G8" si="1">E6-B6</f>
        <v>-3</v>
      </c>
      <c r="H6">
        <f t="shared" ref="H6:H8" si="2">B6-E5</f>
        <v>0</v>
      </c>
    </row>
    <row r="7" spans="1:21" x14ac:dyDescent="0.25">
      <c r="A7">
        <v>4</v>
      </c>
      <c r="B7">
        <v>100</v>
      </c>
      <c r="E7">
        <v>98</v>
      </c>
      <c r="F7">
        <f t="shared" si="0"/>
        <v>-4</v>
      </c>
      <c r="G7">
        <f t="shared" si="1"/>
        <v>-2</v>
      </c>
      <c r="H7">
        <f t="shared" si="2"/>
        <v>-2</v>
      </c>
    </row>
    <row r="8" spans="1:21" x14ac:dyDescent="0.25">
      <c r="A8">
        <v>5</v>
      </c>
      <c r="B8">
        <v>100</v>
      </c>
      <c r="E8">
        <v>103</v>
      </c>
      <c r="F8">
        <f t="shared" si="0"/>
        <v>5</v>
      </c>
      <c r="G8">
        <f t="shared" si="1"/>
        <v>3</v>
      </c>
      <c r="H8">
        <f t="shared" si="2"/>
        <v>2</v>
      </c>
    </row>
    <row r="11" spans="1:21" x14ac:dyDescent="0.25">
      <c r="A11" t="s">
        <v>38</v>
      </c>
      <c r="F11" s="127" t="s">
        <v>47</v>
      </c>
      <c r="G11" s="127"/>
      <c r="H11" s="127"/>
    </row>
    <row r="12" spans="1:21" x14ac:dyDescent="0.25">
      <c r="A12" t="s">
        <v>39</v>
      </c>
      <c r="B12" t="s">
        <v>40</v>
      </c>
      <c r="C12" t="s">
        <v>41</v>
      </c>
      <c r="D12" t="s">
        <v>42</v>
      </c>
      <c r="E12" t="s">
        <v>43</v>
      </c>
      <c r="F12" s="91" t="s">
        <v>44</v>
      </c>
      <c r="G12" s="91" t="s">
        <v>45</v>
      </c>
      <c r="H12" s="91" t="s">
        <v>46</v>
      </c>
    </row>
    <row r="13" spans="1:21" x14ac:dyDescent="0.25">
      <c r="F13" s="91"/>
      <c r="G13" s="91"/>
      <c r="H13" s="91"/>
    </row>
    <row r="14" spans="1:21" x14ac:dyDescent="0.25">
      <c r="A14">
        <v>1</v>
      </c>
      <c r="B14">
        <v>96</v>
      </c>
      <c r="E14">
        <v>100</v>
      </c>
      <c r="I14" t="s">
        <v>59</v>
      </c>
      <c r="K14" t="s">
        <v>60</v>
      </c>
      <c r="M14" t="s">
        <v>61</v>
      </c>
    </row>
    <row r="15" spans="1:21" x14ac:dyDescent="0.25">
      <c r="A15">
        <v>2</v>
      </c>
      <c r="B15">
        <v>100</v>
      </c>
      <c r="E15">
        <v>105</v>
      </c>
      <c r="F15">
        <f>E15-E14</f>
        <v>5</v>
      </c>
      <c r="G15">
        <f>E15-B15</f>
        <v>5</v>
      </c>
      <c r="H15">
        <f>B15-E14</f>
        <v>0</v>
      </c>
    </row>
    <row r="16" spans="1:21" s="93" customFormat="1" x14ac:dyDescent="0.25">
      <c r="A16" s="93">
        <v>3</v>
      </c>
      <c r="B16" s="93">
        <v>100</v>
      </c>
      <c r="E16" s="93">
        <v>102</v>
      </c>
      <c r="F16" s="93">
        <f t="shared" ref="F16:F18" si="3">E16-E15</f>
        <v>-3</v>
      </c>
      <c r="G16" s="93">
        <f t="shared" ref="G16:G18" si="4">E16-B16</f>
        <v>2</v>
      </c>
      <c r="H16" s="93">
        <f t="shared" ref="H16:H18" si="5">B16-E15</f>
        <v>-5</v>
      </c>
      <c r="I16" s="93">
        <v>2</v>
      </c>
      <c r="K16" s="93">
        <v>-2</v>
      </c>
    </row>
    <row r="17" spans="1:12" s="93" customFormat="1" x14ac:dyDescent="0.25">
      <c r="A17" s="93">
        <v>4</v>
      </c>
      <c r="B17" s="93">
        <v>103</v>
      </c>
      <c r="E17" s="93">
        <v>106</v>
      </c>
      <c r="F17" s="93">
        <f t="shared" si="3"/>
        <v>4</v>
      </c>
      <c r="G17" s="93">
        <f t="shared" si="4"/>
        <v>3</v>
      </c>
      <c r="H17" s="93">
        <f t="shared" si="5"/>
        <v>1</v>
      </c>
      <c r="I17" s="93">
        <f>I16</f>
        <v>2</v>
      </c>
      <c r="J17" s="93">
        <f>I17*F17</f>
        <v>8</v>
      </c>
      <c r="K17" s="93">
        <f>IF((K16+1)&lt;=2, K16+1, K16)</f>
        <v>-1</v>
      </c>
      <c r="L17" s="93">
        <f>(K17-1)*F17+G17</f>
        <v>-5</v>
      </c>
    </row>
    <row r="18" spans="1:12" x14ac:dyDescent="0.25">
      <c r="A18">
        <v>5</v>
      </c>
      <c r="B18">
        <v>100</v>
      </c>
      <c r="E18">
        <v>103</v>
      </c>
      <c r="F18">
        <f t="shared" si="3"/>
        <v>-3</v>
      </c>
      <c r="G18">
        <f t="shared" si="4"/>
        <v>3</v>
      </c>
      <c r="H18">
        <f t="shared" si="5"/>
        <v>-6</v>
      </c>
    </row>
  </sheetData>
  <mergeCells count="5">
    <mergeCell ref="I1:L1"/>
    <mergeCell ref="F1:H1"/>
    <mergeCell ref="M1:P1"/>
    <mergeCell ref="Q1:U1"/>
    <mergeCell ref="F11:H11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/>
  </sheetViews>
  <sheetFormatPr defaultRowHeight="16.5" x14ac:dyDescent="0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Ex1</vt:lpstr>
      <vt:lpstr>工作表1</vt:lpstr>
      <vt:lpstr>工作表2</vt:lpstr>
    </vt:vector>
  </TitlesOfParts>
  <Company>APEX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CLCY</dc:creator>
  <cp:lastModifiedBy>user</cp:lastModifiedBy>
  <dcterms:created xsi:type="dcterms:W3CDTF">1999-04-29T01:01:18Z</dcterms:created>
  <dcterms:modified xsi:type="dcterms:W3CDTF">2011-09-04T00:44:25Z</dcterms:modified>
</cp:coreProperties>
</file>