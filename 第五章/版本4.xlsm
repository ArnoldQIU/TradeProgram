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20" windowWidth="11745" windowHeight="6735" activeTab="2"/>
  </bookViews>
  <sheets>
    <sheet name="Sheet1" sheetId="4" r:id="rId1"/>
    <sheet name="Ex1" sheetId="3" r:id="rId2"/>
    <sheet name="Sheet2" sheetId="6" r:id="rId3"/>
  </sheets>
  <calcPr calcId="144525"/>
</workbook>
</file>

<file path=xl/calcChain.xml><?xml version="1.0" encoding="utf-8"?>
<calcChain xmlns="http://schemas.openxmlformats.org/spreadsheetml/2006/main">
  <c r="L6" i="3" l="1"/>
  <c r="G153" i="3"/>
  <c r="H153" i="3"/>
  <c r="M153" i="3"/>
  <c r="N153" i="3" s="1"/>
  <c r="O153" i="3" s="1"/>
  <c r="P153" i="3"/>
  <c r="Q153" i="3"/>
  <c r="G154" i="3"/>
  <c r="H154" i="3"/>
  <c r="M154" i="3"/>
  <c r="N154" i="3"/>
  <c r="O154" i="3" s="1"/>
  <c r="P154" i="3"/>
  <c r="Q154" i="3"/>
  <c r="G155" i="3"/>
  <c r="H155" i="3"/>
  <c r="M155" i="3"/>
  <c r="N158" i="3" s="1"/>
  <c r="O158" i="3" s="1"/>
  <c r="N155" i="3"/>
  <c r="O155" i="3" s="1"/>
  <c r="P155" i="3"/>
  <c r="Q155" i="3"/>
  <c r="G156" i="3"/>
  <c r="H156" i="3"/>
  <c r="M156" i="3"/>
  <c r="P156" i="3"/>
  <c r="Q156" i="3"/>
  <c r="G157" i="3"/>
  <c r="H157" i="3"/>
  <c r="M157" i="3"/>
  <c r="P157" i="3"/>
  <c r="Q157" i="3"/>
  <c r="G158" i="3"/>
  <c r="H158" i="3"/>
  <c r="M158" i="3"/>
  <c r="P158" i="3"/>
  <c r="Q158" i="3"/>
  <c r="G159" i="3"/>
  <c r="H159" i="3"/>
  <c r="M159" i="3"/>
  <c r="N166" i="3" s="1"/>
  <c r="O166" i="3" s="1"/>
  <c r="N159" i="3"/>
  <c r="O159" i="3" s="1"/>
  <c r="P159" i="3"/>
  <c r="Q159" i="3"/>
  <c r="G160" i="3"/>
  <c r="H160" i="3"/>
  <c r="M160" i="3"/>
  <c r="P160" i="3"/>
  <c r="Q160" i="3"/>
  <c r="G161" i="3"/>
  <c r="H161" i="3"/>
  <c r="M161" i="3"/>
  <c r="P161" i="3"/>
  <c r="Q161" i="3"/>
  <c r="G162" i="3"/>
  <c r="H162" i="3"/>
  <c r="M162" i="3"/>
  <c r="P162" i="3"/>
  <c r="Q162" i="3"/>
  <c r="G163" i="3"/>
  <c r="H163" i="3"/>
  <c r="M163" i="3"/>
  <c r="N170" i="3" s="1"/>
  <c r="O170" i="3" s="1"/>
  <c r="N163" i="3"/>
  <c r="O163" i="3" s="1"/>
  <c r="P163" i="3"/>
  <c r="Q163" i="3"/>
  <c r="G164" i="3"/>
  <c r="H164" i="3"/>
  <c r="M164" i="3"/>
  <c r="P164" i="3"/>
  <c r="Q164" i="3"/>
  <c r="G165" i="3"/>
  <c r="H165" i="3"/>
  <c r="M165" i="3"/>
  <c r="P165" i="3"/>
  <c r="Q165" i="3"/>
  <c r="G166" i="3"/>
  <c r="H166" i="3"/>
  <c r="M166" i="3"/>
  <c r="P166" i="3"/>
  <c r="Q166" i="3"/>
  <c r="G167" i="3"/>
  <c r="H167" i="3"/>
  <c r="M167" i="3"/>
  <c r="N167" i="3"/>
  <c r="O167" i="3" s="1"/>
  <c r="P167" i="3"/>
  <c r="Q167" i="3"/>
  <c r="G168" i="3"/>
  <c r="H168" i="3"/>
  <c r="M168" i="3"/>
  <c r="P168" i="3"/>
  <c r="Q168" i="3"/>
  <c r="G169" i="3"/>
  <c r="H169" i="3"/>
  <c r="M169" i="3"/>
  <c r="P169" i="3"/>
  <c r="Q169" i="3"/>
  <c r="G170" i="3"/>
  <c r="H170" i="3"/>
  <c r="M170" i="3"/>
  <c r="P170" i="3"/>
  <c r="Q170" i="3"/>
  <c r="G171" i="3"/>
  <c r="H171" i="3"/>
  <c r="M171" i="3"/>
  <c r="P171" i="3"/>
  <c r="Q171" i="3"/>
  <c r="G172" i="3"/>
  <c r="H172" i="3"/>
  <c r="M172" i="3"/>
  <c r="N172" i="3"/>
  <c r="O172" i="3" s="1"/>
  <c r="P172" i="3"/>
  <c r="Q172" i="3"/>
  <c r="G173" i="3"/>
  <c r="H173" i="3"/>
  <c r="M173" i="3"/>
  <c r="P173" i="3"/>
  <c r="Q173" i="3"/>
  <c r="G174" i="3"/>
  <c r="H174" i="3"/>
  <c r="M174" i="3"/>
  <c r="N174" i="3"/>
  <c r="O174" i="3" s="1"/>
  <c r="P174" i="3"/>
  <c r="Q174" i="3"/>
  <c r="G175" i="3"/>
  <c r="H175" i="3"/>
  <c r="M175" i="3"/>
  <c r="P175" i="3"/>
  <c r="Q175" i="3"/>
  <c r="G176" i="3"/>
  <c r="H176" i="3"/>
  <c r="M176" i="3"/>
  <c r="P176" i="3"/>
  <c r="Q176" i="3"/>
  <c r="G177" i="3"/>
  <c r="H177" i="3"/>
  <c r="M177" i="3"/>
  <c r="P177" i="3"/>
  <c r="Q177" i="3"/>
  <c r="G178" i="3"/>
  <c r="H178" i="3"/>
  <c r="M178" i="3"/>
  <c r="P178" i="3"/>
  <c r="Q178" i="3"/>
  <c r="G179" i="3"/>
  <c r="H179" i="3"/>
  <c r="M179" i="3"/>
  <c r="P179" i="3"/>
  <c r="Q179" i="3"/>
  <c r="G180" i="3"/>
  <c r="H180" i="3"/>
  <c r="M180" i="3"/>
  <c r="P180" i="3"/>
  <c r="Q180" i="3"/>
  <c r="G181" i="3"/>
  <c r="H181" i="3"/>
  <c r="M181" i="3"/>
  <c r="P181" i="3"/>
  <c r="Q181" i="3"/>
  <c r="G182" i="3"/>
  <c r="H182" i="3"/>
  <c r="M182" i="3"/>
  <c r="N182" i="3"/>
  <c r="O182" i="3" s="1"/>
  <c r="P182" i="3"/>
  <c r="Q182" i="3"/>
  <c r="G183" i="3"/>
  <c r="H183" i="3"/>
  <c r="M183" i="3"/>
  <c r="P183" i="3"/>
  <c r="Q183" i="3"/>
  <c r="G184" i="3"/>
  <c r="H184" i="3"/>
  <c r="M184" i="3"/>
  <c r="P184" i="3"/>
  <c r="Q184" i="3"/>
  <c r="G185" i="3"/>
  <c r="H185" i="3"/>
  <c r="M185" i="3"/>
  <c r="P185" i="3"/>
  <c r="Q185" i="3"/>
  <c r="G186" i="3"/>
  <c r="H186" i="3"/>
  <c r="M186" i="3"/>
  <c r="P186" i="3"/>
  <c r="Q186" i="3"/>
  <c r="G187" i="3"/>
  <c r="H187" i="3"/>
  <c r="M187" i="3"/>
  <c r="P187" i="3"/>
  <c r="Q187" i="3"/>
  <c r="G188" i="3"/>
  <c r="H188" i="3"/>
  <c r="M188" i="3"/>
  <c r="P188" i="3"/>
  <c r="Q188" i="3"/>
  <c r="G189" i="3"/>
  <c r="H189" i="3"/>
  <c r="M189" i="3"/>
  <c r="P189" i="3"/>
  <c r="Q189" i="3"/>
  <c r="G190" i="3"/>
  <c r="H190" i="3"/>
  <c r="M190" i="3"/>
  <c r="P190" i="3"/>
  <c r="Q190" i="3"/>
  <c r="G191" i="3"/>
  <c r="H191" i="3"/>
  <c r="M191" i="3"/>
  <c r="P191" i="3"/>
  <c r="Q191" i="3"/>
  <c r="G192" i="3"/>
  <c r="H192" i="3"/>
  <c r="M192" i="3"/>
  <c r="P192" i="3"/>
  <c r="Q192" i="3"/>
  <c r="G193" i="3"/>
  <c r="H193" i="3"/>
  <c r="M193" i="3"/>
  <c r="P193" i="3"/>
  <c r="Q193" i="3"/>
  <c r="G194" i="3"/>
  <c r="H194" i="3"/>
  <c r="M194" i="3"/>
  <c r="P194" i="3"/>
  <c r="Q194" i="3"/>
  <c r="G195" i="3"/>
  <c r="H195" i="3"/>
  <c r="M195" i="3"/>
  <c r="P195" i="3"/>
  <c r="Q195" i="3"/>
  <c r="G196" i="3"/>
  <c r="H196" i="3"/>
  <c r="M196" i="3"/>
  <c r="P196" i="3"/>
  <c r="Q196" i="3"/>
  <c r="G197" i="3"/>
  <c r="H197" i="3"/>
  <c r="M197" i="3"/>
  <c r="P197" i="3"/>
  <c r="Q197" i="3"/>
  <c r="G198" i="3"/>
  <c r="H198" i="3"/>
  <c r="M198" i="3"/>
  <c r="P198" i="3"/>
  <c r="Q198" i="3"/>
  <c r="G199" i="3"/>
  <c r="H199" i="3"/>
  <c r="M199" i="3"/>
  <c r="P199" i="3"/>
  <c r="Q199" i="3"/>
  <c r="G200" i="3"/>
  <c r="H200" i="3"/>
  <c r="M200" i="3"/>
  <c r="P200" i="3"/>
  <c r="Q200" i="3"/>
  <c r="G201" i="3"/>
  <c r="H201" i="3"/>
  <c r="M201" i="3"/>
  <c r="P201" i="3"/>
  <c r="Q201" i="3"/>
  <c r="G202" i="3"/>
  <c r="H202" i="3"/>
  <c r="M202" i="3"/>
  <c r="P202" i="3"/>
  <c r="Q202" i="3"/>
  <c r="G203" i="3"/>
  <c r="H203" i="3"/>
  <c r="M203" i="3"/>
  <c r="P203" i="3"/>
  <c r="Q203" i="3"/>
  <c r="G204" i="3"/>
  <c r="H204" i="3"/>
  <c r="M204" i="3"/>
  <c r="N213" i="3" s="1"/>
  <c r="O213" i="3" s="1"/>
  <c r="P204" i="3"/>
  <c r="Q204" i="3"/>
  <c r="G205" i="3"/>
  <c r="H205" i="3"/>
  <c r="M205" i="3"/>
  <c r="N214" i="3" s="1"/>
  <c r="O214" i="3" s="1"/>
  <c r="P205" i="3"/>
  <c r="Q205" i="3"/>
  <c r="G206" i="3"/>
  <c r="H206" i="3"/>
  <c r="M206" i="3"/>
  <c r="P206" i="3"/>
  <c r="Q206" i="3"/>
  <c r="G207" i="3"/>
  <c r="H207" i="3"/>
  <c r="M207" i="3"/>
  <c r="P207" i="3"/>
  <c r="Q207" i="3"/>
  <c r="G208" i="3"/>
  <c r="H208" i="3"/>
  <c r="M208" i="3"/>
  <c r="P208" i="3"/>
  <c r="Q208" i="3"/>
  <c r="G209" i="3"/>
  <c r="H209" i="3"/>
  <c r="M209" i="3"/>
  <c r="N209" i="3"/>
  <c r="O209" i="3" s="1"/>
  <c r="P209" i="3"/>
  <c r="Q209" i="3"/>
  <c r="G210" i="3"/>
  <c r="H210" i="3"/>
  <c r="M210" i="3"/>
  <c r="P210" i="3"/>
  <c r="Q210" i="3"/>
  <c r="G211" i="3"/>
  <c r="H211" i="3"/>
  <c r="M211" i="3"/>
  <c r="P211" i="3"/>
  <c r="Q211" i="3"/>
  <c r="G212" i="3"/>
  <c r="H212" i="3"/>
  <c r="M212" i="3"/>
  <c r="P212" i="3"/>
  <c r="Q212" i="3"/>
  <c r="G213" i="3"/>
  <c r="H213" i="3"/>
  <c r="M213" i="3"/>
  <c r="P213" i="3"/>
  <c r="Q213" i="3"/>
  <c r="G214" i="3"/>
  <c r="H214" i="3"/>
  <c r="M214" i="3"/>
  <c r="P214" i="3"/>
  <c r="Q214" i="3"/>
  <c r="G215" i="3"/>
  <c r="H215" i="3"/>
  <c r="M215" i="3"/>
  <c r="P215" i="3"/>
  <c r="Q215" i="3"/>
  <c r="G216" i="3"/>
  <c r="H216" i="3"/>
  <c r="M216" i="3"/>
  <c r="P216" i="3"/>
  <c r="Q216" i="3"/>
  <c r="G217" i="3"/>
  <c r="H217" i="3"/>
  <c r="M217" i="3"/>
  <c r="P217" i="3"/>
  <c r="Q217" i="3"/>
  <c r="G218" i="3"/>
  <c r="H218" i="3"/>
  <c r="M218" i="3"/>
  <c r="P218" i="3"/>
  <c r="Q218" i="3"/>
  <c r="G219" i="3"/>
  <c r="H219" i="3"/>
  <c r="M219" i="3"/>
  <c r="P219" i="3"/>
  <c r="Q219" i="3"/>
  <c r="G220" i="3"/>
  <c r="H220" i="3"/>
  <c r="M220" i="3"/>
  <c r="P220" i="3"/>
  <c r="Q220" i="3"/>
  <c r="G221" i="3"/>
  <c r="H221" i="3"/>
  <c r="M221" i="3"/>
  <c r="P221" i="3"/>
  <c r="Q221" i="3"/>
  <c r="G222" i="3"/>
  <c r="H222" i="3"/>
  <c r="M222" i="3"/>
  <c r="P222" i="3"/>
  <c r="Q222" i="3"/>
  <c r="G223" i="3"/>
  <c r="H223" i="3"/>
  <c r="M223" i="3"/>
  <c r="P223" i="3"/>
  <c r="Q223" i="3"/>
  <c r="G224" i="3"/>
  <c r="H224" i="3"/>
  <c r="M224" i="3"/>
  <c r="P224" i="3"/>
  <c r="Q224" i="3"/>
  <c r="G225" i="3"/>
  <c r="H225" i="3"/>
  <c r="M225" i="3"/>
  <c r="P225" i="3"/>
  <c r="Q225" i="3"/>
  <c r="G226" i="3"/>
  <c r="H226" i="3"/>
  <c r="M226" i="3"/>
  <c r="P226" i="3"/>
  <c r="Q226" i="3"/>
  <c r="G227" i="3"/>
  <c r="H227" i="3"/>
  <c r="M227" i="3"/>
  <c r="P227" i="3"/>
  <c r="Q227" i="3"/>
  <c r="G228" i="3"/>
  <c r="H228" i="3"/>
  <c r="M228" i="3"/>
  <c r="P228" i="3"/>
  <c r="Q228" i="3"/>
  <c r="G229" i="3"/>
  <c r="H229" i="3"/>
  <c r="M229" i="3"/>
  <c r="P229" i="3"/>
  <c r="Q229" i="3"/>
  <c r="G230" i="3"/>
  <c r="H230" i="3"/>
  <c r="M230" i="3"/>
  <c r="P230" i="3"/>
  <c r="Q230" i="3"/>
  <c r="G231" i="3"/>
  <c r="H231" i="3"/>
  <c r="M231" i="3"/>
  <c r="N231" i="3"/>
  <c r="O231" i="3" s="1"/>
  <c r="P231" i="3"/>
  <c r="Q231" i="3"/>
  <c r="G232" i="3"/>
  <c r="H232" i="3"/>
  <c r="M232" i="3"/>
  <c r="N232" i="3"/>
  <c r="O232" i="3" s="1"/>
  <c r="P232" i="3"/>
  <c r="Q232" i="3"/>
  <c r="G233" i="3"/>
  <c r="H233" i="3"/>
  <c r="M233" i="3"/>
  <c r="N233" i="3"/>
  <c r="O233" i="3" s="1"/>
  <c r="P233" i="3"/>
  <c r="Q233" i="3"/>
  <c r="G234" i="3"/>
  <c r="H234" i="3"/>
  <c r="M234" i="3"/>
  <c r="N234" i="3"/>
  <c r="O234" i="3" s="1"/>
  <c r="P234" i="3"/>
  <c r="Q234" i="3"/>
  <c r="G235" i="3"/>
  <c r="H235" i="3"/>
  <c r="M235" i="3"/>
  <c r="N235" i="3"/>
  <c r="O235" i="3" s="1"/>
  <c r="P235" i="3"/>
  <c r="Q235" i="3"/>
  <c r="G236" i="3"/>
  <c r="H236" i="3"/>
  <c r="M236" i="3"/>
  <c r="N236" i="3"/>
  <c r="O236" i="3" s="1"/>
  <c r="P236" i="3"/>
  <c r="Q236" i="3"/>
  <c r="G237" i="3"/>
  <c r="H237" i="3"/>
  <c r="M237" i="3"/>
  <c r="N237" i="3"/>
  <c r="O237" i="3" s="1"/>
  <c r="P237" i="3"/>
  <c r="Q237" i="3"/>
  <c r="G238" i="3"/>
  <c r="H238" i="3"/>
  <c r="M238" i="3"/>
  <c r="N238" i="3"/>
  <c r="O238" i="3" s="1"/>
  <c r="P238" i="3"/>
  <c r="Q238" i="3"/>
  <c r="G239" i="3"/>
  <c r="H239" i="3"/>
  <c r="M239" i="3"/>
  <c r="N239" i="3"/>
  <c r="O239" i="3" s="1"/>
  <c r="P239" i="3"/>
  <c r="Q239" i="3"/>
  <c r="G240" i="3"/>
  <c r="H240" i="3"/>
  <c r="M240" i="3"/>
  <c r="N240" i="3"/>
  <c r="O240" i="3" s="1"/>
  <c r="P240" i="3"/>
  <c r="Q240" i="3"/>
  <c r="G241" i="3"/>
  <c r="H241" i="3"/>
  <c r="M241" i="3"/>
  <c r="N241" i="3"/>
  <c r="O241" i="3" s="1"/>
  <c r="P241" i="3"/>
  <c r="Q241" i="3"/>
  <c r="G242" i="3"/>
  <c r="H242" i="3"/>
  <c r="M242" i="3"/>
  <c r="N242" i="3"/>
  <c r="O242" i="3" s="1"/>
  <c r="P242" i="3"/>
  <c r="Q242" i="3"/>
  <c r="G243" i="3"/>
  <c r="H243" i="3"/>
  <c r="M243" i="3"/>
  <c r="N243" i="3"/>
  <c r="O243" i="3" s="1"/>
  <c r="P243" i="3"/>
  <c r="Q243" i="3"/>
  <c r="G244" i="3"/>
  <c r="H244" i="3"/>
  <c r="M244" i="3"/>
  <c r="N244" i="3"/>
  <c r="O244" i="3" s="1"/>
  <c r="P244" i="3"/>
  <c r="Q244" i="3"/>
  <c r="G245" i="3"/>
  <c r="H245" i="3"/>
  <c r="M245" i="3"/>
  <c r="N245" i="3"/>
  <c r="O245" i="3" s="1"/>
  <c r="P245" i="3"/>
  <c r="Q245" i="3"/>
  <c r="G246" i="3"/>
  <c r="H246" i="3"/>
  <c r="M246" i="3"/>
  <c r="N246" i="3"/>
  <c r="O246" i="3" s="1"/>
  <c r="P246" i="3"/>
  <c r="Q246" i="3"/>
  <c r="G247" i="3"/>
  <c r="H247" i="3"/>
  <c r="M247" i="3"/>
  <c r="N247" i="3"/>
  <c r="O247" i="3" s="1"/>
  <c r="P247" i="3"/>
  <c r="Q247" i="3"/>
  <c r="G248" i="3"/>
  <c r="H248" i="3"/>
  <c r="M248" i="3"/>
  <c r="N248" i="3"/>
  <c r="O248" i="3" s="1"/>
  <c r="P248" i="3"/>
  <c r="Q248" i="3"/>
  <c r="G249" i="3"/>
  <c r="H249" i="3"/>
  <c r="M249" i="3"/>
  <c r="N249" i="3"/>
  <c r="O249" i="3" s="1"/>
  <c r="P249" i="3"/>
  <c r="Q249" i="3"/>
  <c r="G250" i="3"/>
  <c r="H250" i="3"/>
  <c r="M250" i="3"/>
  <c r="N250" i="3"/>
  <c r="O250" i="3" s="1"/>
  <c r="P250" i="3"/>
  <c r="Q250" i="3"/>
  <c r="G251" i="3"/>
  <c r="H251" i="3"/>
  <c r="M251" i="3"/>
  <c r="N251" i="3"/>
  <c r="O251" i="3" s="1"/>
  <c r="P251" i="3"/>
  <c r="Q251" i="3"/>
  <c r="G252" i="3"/>
  <c r="H252" i="3"/>
  <c r="M252" i="3"/>
  <c r="N252" i="3"/>
  <c r="O252" i="3" s="1"/>
  <c r="P252" i="3"/>
  <c r="Q252" i="3"/>
  <c r="G253" i="3"/>
  <c r="H253" i="3"/>
  <c r="M253" i="3"/>
  <c r="N253" i="3"/>
  <c r="O253" i="3" s="1"/>
  <c r="P253" i="3"/>
  <c r="Q253" i="3"/>
  <c r="G254" i="3"/>
  <c r="H254" i="3"/>
  <c r="M254" i="3"/>
  <c r="N254" i="3"/>
  <c r="O254" i="3" s="1"/>
  <c r="P254" i="3"/>
  <c r="Q254" i="3"/>
  <c r="G255" i="3"/>
  <c r="H255" i="3"/>
  <c r="M255" i="3"/>
  <c r="N255" i="3"/>
  <c r="O255" i="3" s="1"/>
  <c r="P255" i="3"/>
  <c r="Q255" i="3"/>
  <c r="G256" i="3"/>
  <c r="H256" i="3"/>
  <c r="M256" i="3"/>
  <c r="N256" i="3"/>
  <c r="O256" i="3" s="1"/>
  <c r="P256" i="3"/>
  <c r="Q256" i="3"/>
  <c r="G257" i="3"/>
  <c r="H257" i="3"/>
  <c r="M257" i="3"/>
  <c r="N257" i="3"/>
  <c r="O257" i="3" s="1"/>
  <c r="P257" i="3"/>
  <c r="Q257" i="3"/>
  <c r="G258" i="3"/>
  <c r="H258" i="3"/>
  <c r="M258" i="3"/>
  <c r="N258" i="3"/>
  <c r="O258" i="3" s="1"/>
  <c r="P258" i="3"/>
  <c r="Q258" i="3"/>
  <c r="G259" i="3"/>
  <c r="H259" i="3"/>
  <c r="M259" i="3"/>
  <c r="N259" i="3"/>
  <c r="O259" i="3" s="1"/>
  <c r="P259" i="3"/>
  <c r="Q259" i="3"/>
  <c r="G260" i="3"/>
  <c r="H260" i="3"/>
  <c r="M260" i="3"/>
  <c r="N260" i="3"/>
  <c r="O260" i="3" s="1"/>
  <c r="P260" i="3"/>
  <c r="Q260" i="3"/>
  <c r="G261" i="3"/>
  <c r="H261" i="3"/>
  <c r="M261" i="3"/>
  <c r="N261" i="3"/>
  <c r="O261" i="3" s="1"/>
  <c r="P261" i="3"/>
  <c r="Q261" i="3"/>
  <c r="G262" i="3"/>
  <c r="H262" i="3"/>
  <c r="M262" i="3"/>
  <c r="N262" i="3"/>
  <c r="O262" i="3" s="1"/>
  <c r="P262" i="3"/>
  <c r="Q262" i="3"/>
  <c r="G263" i="3"/>
  <c r="H263" i="3"/>
  <c r="M263" i="3"/>
  <c r="N263" i="3"/>
  <c r="O263" i="3" s="1"/>
  <c r="P263" i="3"/>
  <c r="Q263" i="3"/>
  <c r="G264" i="3"/>
  <c r="H264" i="3"/>
  <c r="M264" i="3"/>
  <c r="N264" i="3"/>
  <c r="O264" i="3" s="1"/>
  <c r="P264" i="3"/>
  <c r="Q264" i="3"/>
  <c r="G265" i="3"/>
  <c r="H265" i="3"/>
  <c r="M265" i="3"/>
  <c r="N265" i="3"/>
  <c r="O265" i="3" s="1"/>
  <c r="P265" i="3"/>
  <c r="Q265" i="3"/>
  <c r="G266" i="3"/>
  <c r="H266" i="3"/>
  <c r="M266" i="3"/>
  <c r="N266" i="3"/>
  <c r="O266" i="3" s="1"/>
  <c r="P266" i="3"/>
  <c r="Q266" i="3"/>
  <c r="G267" i="3"/>
  <c r="H267" i="3"/>
  <c r="M267" i="3"/>
  <c r="N267" i="3"/>
  <c r="O267" i="3" s="1"/>
  <c r="P267" i="3"/>
  <c r="Q267" i="3"/>
  <c r="G268" i="3"/>
  <c r="H268" i="3"/>
  <c r="M268" i="3"/>
  <c r="N268" i="3"/>
  <c r="O268" i="3" s="1"/>
  <c r="P268" i="3"/>
  <c r="Q268" i="3"/>
  <c r="G269" i="3"/>
  <c r="H269" i="3"/>
  <c r="M269" i="3"/>
  <c r="N269" i="3"/>
  <c r="O269" i="3" s="1"/>
  <c r="P269" i="3"/>
  <c r="Q269" i="3"/>
  <c r="G270" i="3"/>
  <c r="H270" i="3"/>
  <c r="M270" i="3"/>
  <c r="N270" i="3"/>
  <c r="O270" i="3" s="1"/>
  <c r="P270" i="3"/>
  <c r="Q270" i="3"/>
  <c r="G271" i="3"/>
  <c r="H271" i="3"/>
  <c r="M271" i="3"/>
  <c r="N271" i="3"/>
  <c r="O271" i="3" s="1"/>
  <c r="P271" i="3"/>
  <c r="Q271" i="3"/>
  <c r="G272" i="3"/>
  <c r="H272" i="3"/>
  <c r="M272" i="3"/>
  <c r="N272" i="3"/>
  <c r="O272" i="3" s="1"/>
  <c r="P272" i="3"/>
  <c r="Q272" i="3"/>
  <c r="G273" i="3"/>
  <c r="H273" i="3"/>
  <c r="M273" i="3"/>
  <c r="N273" i="3"/>
  <c r="O273" i="3" s="1"/>
  <c r="P273" i="3"/>
  <c r="Q273" i="3"/>
  <c r="G274" i="3"/>
  <c r="H274" i="3"/>
  <c r="M274" i="3"/>
  <c r="N274" i="3"/>
  <c r="O274" i="3" s="1"/>
  <c r="P274" i="3"/>
  <c r="Q274" i="3"/>
  <c r="G275" i="3"/>
  <c r="H275" i="3"/>
  <c r="M275" i="3"/>
  <c r="N275" i="3"/>
  <c r="O275" i="3" s="1"/>
  <c r="P275" i="3"/>
  <c r="Q275" i="3"/>
  <c r="G276" i="3"/>
  <c r="H276" i="3"/>
  <c r="M276" i="3"/>
  <c r="N276" i="3"/>
  <c r="O276" i="3" s="1"/>
  <c r="P276" i="3"/>
  <c r="Q276" i="3"/>
  <c r="G277" i="3"/>
  <c r="H277" i="3"/>
  <c r="M277" i="3"/>
  <c r="N277" i="3"/>
  <c r="O277" i="3" s="1"/>
  <c r="P277" i="3"/>
  <c r="Q277" i="3"/>
  <c r="G278" i="3"/>
  <c r="H278" i="3"/>
  <c r="M278" i="3"/>
  <c r="N278" i="3"/>
  <c r="O278" i="3" s="1"/>
  <c r="P278" i="3"/>
  <c r="Q278" i="3"/>
  <c r="G279" i="3"/>
  <c r="H279" i="3"/>
  <c r="M279" i="3"/>
  <c r="N279" i="3"/>
  <c r="O279" i="3" s="1"/>
  <c r="P279" i="3"/>
  <c r="Q279" i="3"/>
  <c r="G280" i="3"/>
  <c r="H280" i="3"/>
  <c r="M280" i="3"/>
  <c r="N280" i="3"/>
  <c r="O280" i="3" s="1"/>
  <c r="P280" i="3"/>
  <c r="Q280" i="3"/>
  <c r="G281" i="3"/>
  <c r="H281" i="3"/>
  <c r="M281" i="3"/>
  <c r="N281" i="3"/>
  <c r="O281" i="3" s="1"/>
  <c r="P281" i="3"/>
  <c r="Q281" i="3"/>
  <c r="G282" i="3"/>
  <c r="H282" i="3"/>
  <c r="M282" i="3"/>
  <c r="N282" i="3"/>
  <c r="O282" i="3" s="1"/>
  <c r="P282" i="3"/>
  <c r="Q282" i="3"/>
  <c r="G283" i="3"/>
  <c r="H283" i="3"/>
  <c r="M283" i="3"/>
  <c r="N283" i="3"/>
  <c r="O283" i="3" s="1"/>
  <c r="P283" i="3"/>
  <c r="Q283" i="3"/>
  <c r="G284" i="3"/>
  <c r="H284" i="3"/>
  <c r="M284" i="3"/>
  <c r="N284" i="3"/>
  <c r="O284" i="3" s="1"/>
  <c r="P284" i="3"/>
  <c r="Q284" i="3"/>
  <c r="G285" i="3"/>
  <c r="H285" i="3"/>
  <c r="M285" i="3"/>
  <c r="N285" i="3"/>
  <c r="O285" i="3" s="1"/>
  <c r="P285" i="3"/>
  <c r="Q285" i="3"/>
  <c r="G286" i="3"/>
  <c r="H286" i="3"/>
  <c r="M286" i="3"/>
  <c r="N286" i="3" s="1"/>
  <c r="O286" i="3" s="1"/>
  <c r="P286" i="3"/>
  <c r="Q286" i="3"/>
  <c r="G287" i="3"/>
  <c r="H287" i="3"/>
  <c r="M287" i="3"/>
  <c r="N287" i="3"/>
  <c r="O287" i="3" s="1"/>
  <c r="P287" i="3"/>
  <c r="Q287" i="3"/>
  <c r="G288" i="3"/>
  <c r="H288" i="3"/>
  <c r="M288" i="3"/>
  <c r="N289" i="3" s="1"/>
  <c r="O289" i="3" s="1"/>
  <c r="N288" i="3"/>
  <c r="O288" i="3" s="1"/>
  <c r="P288" i="3"/>
  <c r="Q288" i="3"/>
  <c r="G289" i="3"/>
  <c r="H289" i="3"/>
  <c r="M289" i="3"/>
  <c r="N295" i="3" s="1"/>
  <c r="O295" i="3" s="1"/>
  <c r="P289" i="3"/>
  <c r="Q289" i="3"/>
  <c r="G290" i="3"/>
  <c r="H290" i="3"/>
  <c r="M290" i="3"/>
  <c r="P290" i="3"/>
  <c r="Q290" i="3"/>
  <c r="G291" i="3"/>
  <c r="H291" i="3"/>
  <c r="M291" i="3"/>
  <c r="P291" i="3"/>
  <c r="Q291" i="3"/>
  <c r="G292" i="3"/>
  <c r="H292" i="3"/>
  <c r="M292" i="3"/>
  <c r="N301" i="3" s="1"/>
  <c r="O301" i="3" s="1"/>
  <c r="N292" i="3"/>
  <c r="O292" i="3" s="1"/>
  <c r="P292" i="3"/>
  <c r="Q292" i="3"/>
  <c r="G293" i="3"/>
  <c r="H293" i="3"/>
  <c r="M293" i="3"/>
  <c r="N299" i="3" s="1"/>
  <c r="O299" i="3" s="1"/>
  <c r="P293" i="3"/>
  <c r="Q293" i="3"/>
  <c r="G294" i="3"/>
  <c r="H294" i="3"/>
  <c r="M294" i="3"/>
  <c r="P294" i="3"/>
  <c r="Q294" i="3"/>
  <c r="G295" i="3"/>
  <c r="H295" i="3"/>
  <c r="M295" i="3"/>
  <c r="P295" i="3"/>
  <c r="Q295" i="3"/>
  <c r="G296" i="3"/>
  <c r="H296" i="3"/>
  <c r="M296" i="3"/>
  <c r="N296" i="3"/>
  <c r="O296" i="3" s="1"/>
  <c r="P296" i="3"/>
  <c r="Q296" i="3"/>
  <c r="G297" i="3"/>
  <c r="H297" i="3"/>
  <c r="M297" i="3"/>
  <c r="P297" i="3"/>
  <c r="Q297" i="3"/>
  <c r="G298" i="3"/>
  <c r="H298" i="3"/>
  <c r="M298" i="3"/>
  <c r="P298" i="3"/>
  <c r="Q298" i="3"/>
  <c r="G299" i="3"/>
  <c r="H299" i="3"/>
  <c r="M299" i="3"/>
  <c r="P299" i="3"/>
  <c r="Q299" i="3"/>
  <c r="G300" i="3"/>
  <c r="H300" i="3"/>
  <c r="M300" i="3"/>
  <c r="N300" i="3"/>
  <c r="O300" i="3" s="1"/>
  <c r="P300" i="3"/>
  <c r="Q300" i="3"/>
  <c r="G301" i="3"/>
  <c r="H301" i="3"/>
  <c r="M301" i="3"/>
  <c r="P301" i="3"/>
  <c r="Q301" i="3"/>
  <c r="G302" i="3"/>
  <c r="H302" i="3"/>
  <c r="M302" i="3"/>
  <c r="P302" i="3"/>
  <c r="Q302" i="3"/>
  <c r="R198" i="3" l="1"/>
  <c r="R212" i="3"/>
  <c r="R214" i="3"/>
  <c r="I214" i="3" s="1"/>
  <c r="R211" i="3"/>
  <c r="R204" i="3"/>
  <c r="R185" i="3"/>
  <c r="R167" i="3"/>
  <c r="I167" i="3" s="1"/>
  <c r="R155" i="3"/>
  <c r="I155" i="3" s="1"/>
  <c r="R293" i="3"/>
  <c r="R300" i="3"/>
  <c r="I300" i="3" s="1"/>
  <c r="R292" i="3"/>
  <c r="I292" i="3" s="1"/>
  <c r="R213" i="3"/>
  <c r="I213" i="3" s="1"/>
  <c r="R177" i="3"/>
  <c r="R171" i="3"/>
  <c r="R296" i="3"/>
  <c r="I296" i="3" s="1"/>
  <c r="R290" i="3"/>
  <c r="R205" i="3"/>
  <c r="R191" i="3"/>
  <c r="R187" i="3"/>
  <c r="R163" i="3"/>
  <c r="I163" i="3" s="1"/>
  <c r="R159" i="3"/>
  <c r="I159" i="3" s="1"/>
  <c r="R297" i="3"/>
  <c r="R288" i="3"/>
  <c r="I288" i="3" s="1"/>
  <c r="R285" i="3"/>
  <c r="I285" i="3" s="1"/>
  <c r="R228" i="3"/>
  <c r="R224" i="3"/>
  <c r="R216" i="3"/>
  <c r="R301" i="3"/>
  <c r="I301" i="3" s="1"/>
  <c r="R289" i="3"/>
  <c r="I289" i="3" s="1"/>
  <c r="R193" i="3"/>
  <c r="R179" i="3"/>
  <c r="R283" i="3"/>
  <c r="I283" i="3" s="1"/>
  <c r="R279" i="3"/>
  <c r="I279" i="3" s="1"/>
  <c r="R267" i="3"/>
  <c r="I267" i="3" s="1"/>
  <c r="R255" i="3"/>
  <c r="I255" i="3" s="1"/>
  <c r="R251" i="3"/>
  <c r="I251" i="3" s="1"/>
  <c r="R247" i="3"/>
  <c r="I247" i="3" s="1"/>
  <c r="R243" i="3"/>
  <c r="I243" i="3" s="1"/>
  <c r="R235" i="3"/>
  <c r="I235" i="3" s="1"/>
  <c r="R231" i="3"/>
  <c r="I231" i="3" s="1"/>
  <c r="R162" i="3"/>
  <c r="R298" i="3"/>
  <c r="R291" i="3"/>
  <c r="R286" i="3"/>
  <c r="I286" i="3" s="1"/>
  <c r="R230" i="3"/>
  <c r="R226" i="3"/>
  <c r="R195" i="3"/>
  <c r="R154" i="3"/>
  <c r="I154" i="3" s="1"/>
  <c r="R299" i="3"/>
  <c r="I299" i="3" s="1"/>
  <c r="R294" i="3"/>
  <c r="R275" i="3"/>
  <c r="I275" i="3" s="1"/>
  <c r="R271" i="3"/>
  <c r="I271" i="3" s="1"/>
  <c r="R263" i="3"/>
  <c r="I263" i="3" s="1"/>
  <c r="R259" i="3"/>
  <c r="I259" i="3" s="1"/>
  <c r="R239" i="3"/>
  <c r="I239" i="3" s="1"/>
  <c r="R208" i="3"/>
  <c r="R206" i="3"/>
  <c r="R203" i="3"/>
  <c r="R170" i="3"/>
  <c r="I170" i="3" s="1"/>
  <c r="R302" i="3"/>
  <c r="R295" i="3"/>
  <c r="I295" i="3" s="1"/>
  <c r="R284" i="3"/>
  <c r="I284" i="3" s="1"/>
  <c r="R221" i="3"/>
  <c r="R217" i="3"/>
  <c r="R207" i="3"/>
  <c r="R196" i="3"/>
  <c r="R192" i="3"/>
  <c r="R166" i="3"/>
  <c r="I166" i="3" s="1"/>
  <c r="R158" i="3"/>
  <c r="I158" i="3" s="1"/>
  <c r="N291" i="3"/>
  <c r="O291" i="3" s="1"/>
  <c r="N302" i="3"/>
  <c r="O302" i="3" s="1"/>
  <c r="N298" i="3"/>
  <c r="O298" i="3" s="1"/>
  <c r="N294" i="3"/>
  <c r="O294" i="3" s="1"/>
  <c r="N290" i="3"/>
  <c r="O290" i="3" s="1"/>
  <c r="R287" i="3"/>
  <c r="I287" i="3" s="1"/>
  <c r="R282" i="3"/>
  <c r="I282" i="3" s="1"/>
  <c r="R278" i="3"/>
  <c r="I278" i="3" s="1"/>
  <c r="N203" i="3"/>
  <c r="O203" i="3" s="1"/>
  <c r="N212" i="3"/>
  <c r="O212" i="3" s="1"/>
  <c r="N211" i="3"/>
  <c r="O211" i="3" s="1"/>
  <c r="N297" i="3"/>
  <c r="O297" i="3" s="1"/>
  <c r="N293" i="3"/>
  <c r="O293" i="3" s="1"/>
  <c r="R229" i="3"/>
  <c r="R227" i="3"/>
  <c r="R225" i="3"/>
  <c r="R222" i="3"/>
  <c r="R223" i="3"/>
  <c r="R184" i="3"/>
  <c r="R183" i="3"/>
  <c r="R274" i="3"/>
  <c r="I274" i="3" s="1"/>
  <c r="R266" i="3"/>
  <c r="I266" i="3" s="1"/>
  <c r="R262" i="3"/>
  <c r="I262" i="3" s="1"/>
  <c r="R250" i="3"/>
  <c r="I250" i="3" s="1"/>
  <c r="R246" i="3"/>
  <c r="I246" i="3" s="1"/>
  <c r="R242" i="3"/>
  <c r="I242" i="3" s="1"/>
  <c r="N207" i="3"/>
  <c r="O207" i="3" s="1"/>
  <c r="N185" i="3"/>
  <c r="O185" i="3" s="1"/>
  <c r="N184" i="3"/>
  <c r="O184" i="3" s="1"/>
  <c r="N186" i="3"/>
  <c r="O186" i="3" s="1"/>
  <c r="R281" i="3"/>
  <c r="I281" i="3" s="1"/>
  <c r="R277" i="3"/>
  <c r="I277" i="3" s="1"/>
  <c r="R269" i="3"/>
  <c r="I269" i="3" s="1"/>
  <c r="R280" i="3"/>
  <c r="I280" i="3" s="1"/>
  <c r="R276" i="3"/>
  <c r="I276" i="3" s="1"/>
  <c r="R272" i="3"/>
  <c r="I272" i="3" s="1"/>
  <c r="R268" i="3"/>
  <c r="I268" i="3" s="1"/>
  <c r="R264" i="3"/>
  <c r="I264" i="3" s="1"/>
  <c r="R260" i="3"/>
  <c r="I260" i="3" s="1"/>
  <c r="R256" i="3"/>
  <c r="I256" i="3" s="1"/>
  <c r="R252" i="3"/>
  <c r="I252" i="3" s="1"/>
  <c r="R248" i="3"/>
  <c r="I248" i="3" s="1"/>
  <c r="R244" i="3"/>
  <c r="I244" i="3" s="1"/>
  <c r="R240" i="3"/>
  <c r="I240" i="3" s="1"/>
  <c r="R236" i="3"/>
  <c r="I236" i="3" s="1"/>
  <c r="R232" i="3"/>
  <c r="I232" i="3" s="1"/>
  <c r="R220" i="3"/>
  <c r="N227" i="3"/>
  <c r="O227" i="3" s="1"/>
  <c r="N222" i="3"/>
  <c r="O222" i="3" s="1"/>
  <c r="N219" i="3"/>
  <c r="O219" i="3" s="1"/>
  <c r="N215" i="3"/>
  <c r="O215" i="3" s="1"/>
  <c r="R210" i="3"/>
  <c r="R201" i="3"/>
  <c r="R200" i="3"/>
  <c r="N208" i="3"/>
  <c r="O208" i="3" s="1"/>
  <c r="N197" i="3"/>
  <c r="O197" i="3" s="1"/>
  <c r="N198" i="3"/>
  <c r="O198" i="3" s="1"/>
  <c r="N180" i="3"/>
  <c r="O180" i="3" s="1"/>
  <c r="R176" i="3"/>
  <c r="R175" i="3"/>
  <c r="R270" i="3"/>
  <c r="I270" i="3" s="1"/>
  <c r="R258" i="3"/>
  <c r="I258" i="3" s="1"/>
  <c r="R254" i="3"/>
  <c r="I254" i="3" s="1"/>
  <c r="R238" i="3"/>
  <c r="I238" i="3" s="1"/>
  <c r="R234" i="3"/>
  <c r="I234" i="3" s="1"/>
  <c r="R202" i="3"/>
  <c r="N205" i="3"/>
  <c r="O205" i="3" s="1"/>
  <c r="N193" i="3"/>
  <c r="O193" i="3" s="1"/>
  <c r="N192" i="3"/>
  <c r="O192" i="3" s="1"/>
  <c r="N194" i="3"/>
  <c r="O194" i="3" s="1"/>
  <c r="N190" i="3"/>
  <c r="O190" i="3" s="1"/>
  <c r="R273" i="3"/>
  <c r="I273" i="3" s="1"/>
  <c r="R265" i="3"/>
  <c r="I265" i="3" s="1"/>
  <c r="R261" i="3"/>
  <c r="I261" i="3" s="1"/>
  <c r="R257" i="3"/>
  <c r="I257" i="3" s="1"/>
  <c r="R253" i="3"/>
  <c r="I253" i="3" s="1"/>
  <c r="R249" i="3"/>
  <c r="I249" i="3" s="1"/>
  <c r="R245" i="3"/>
  <c r="I245" i="3" s="1"/>
  <c r="R241" i="3"/>
  <c r="I241" i="3" s="1"/>
  <c r="R237" i="3"/>
  <c r="I237" i="3" s="1"/>
  <c r="R233" i="3"/>
  <c r="I233" i="3" s="1"/>
  <c r="N228" i="3"/>
  <c r="O228" i="3" s="1"/>
  <c r="N229" i="3"/>
  <c r="O229" i="3" s="1"/>
  <c r="N230" i="3"/>
  <c r="O230" i="3" s="1"/>
  <c r="N223" i="3"/>
  <c r="O223" i="3" s="1"/>
  <c r="N224" i="3"/>
  <c r="O224" i="3" s="1"/>
  <c r="N225" i="3"/>
  <c r="O225" i="3" s="1"/>
  <c r="N226" i="3"/>
  <c r="O226" i="3" s="1"/>
  <c r="R215" i="3"/>
  <c r="N221" i="3"/>
  <c r="O221" i="3" s="1"/>
  <c r="N220" i="3"/>
  <c r="O220" i="3" s="1"/>
  <c r="R209" i="3"/>
  <c r="I209" i="3" s="1"/>
  <c r="N201" i="3"/>
  <c r="O201" i="3" s="1"/>
  <c r="N199" i="3"/>
  <c r="O199" i="3" s="1"/>
  <c r="N206" i="3"/>
  <c r="O206" i="3" s="1"/>
  <c r="N195" i="3"/>
  <c r="O195" i="3" s="1"/>
  <c r="N196" i="3"/>
  <c r="O196" i="3" s="1"/>
  <c r="N187" i="3"/>
  <c r="O187" i="3" s="1"/>
  <c r="N188" i="3"/>
  <c r="O188" i="3" s="1"/>
  <c r="R174" i="3"/>
  <c r="I174" i="3" s="1"/>
  <c r="R173" i="3"/>
  <c r="R218" i="3"/>
  <c r="N216" i="3"/>
  <c r="O216" i="3" s="1"/>
  <c r="R199" i="3"/>
  <c r="R190" i="3"/>
  <c r="R189" i="3"/>
  <c r="N179" i="3"/>
  <c r="O179" i="3" s="1"/>
  <c r="N176" i="3"/>
  <c r="O176" i="3" s="1"/>
  <c r="N178" i="3"/>
  <c r="O178" i="3" s="1"/>
  <c r="R219" i="3"/>
  <c r="N218" i="3"/>
  <c r="O218" i="3" s="1"/>
  <c r="N217" i="3"/>
  <c r="O217" i="3" s="1"/>
  <c r="N210" i="3"/>
  <c r="O210" i="3" s="1"/>
  <c r="R197" i="3"/>
  <c r="N204" i="3"/>
  <c r="O204" i="3" s="1"/>
  <c r="N200" i="3"/>
  <c r="O200" i="3" s="1"/>
  <c r="N202" i="3"/>
  <c r="O202" i="3" s="1"/>
  <c r="R182" i="3"/>
  <c r="I182" i="3" s="1"/>
  <c r="R181" i="3"/>
  <c r="R169" i="3"/>
  <c r="R168" i="3"/>
  <c r="R165" i="3"/>
  <c r="R164" i="3"/>
  <c r="R161" i="3"/>
  <c r="R160" i="3"/>
  <c r="R157" i="3"/>
  <c r="R156" i="3"/>
  <c r="R188" i="3"/>
  <c r="N191" i="3"/>
  <c r="O191" i="3" s="1"/>
  <c r="R180" i="3"/>
  <c r="N183" i="3"/>
  <c r="O183" i="3" s="1"/>
  <c r="R172" i="3"/>
  <c r="I172" i="3" s="1"/>
  <c r="N162" i="3"/>
  <c r="O162" i="3" s="1"/>
  <c r="R194" i="3"/>
  <c r="R186" i="3"/>
  <c r="N189" i="3"/>
  <c r="O189" i="3" s="1"/>
  <c r="R178" i="3"/>
  <c r="N181" i="3"/>
  <c r="O181" i="3" s="1"/>
  <c r="N177" i="3"/>
  <c r="O177" i="3" s="1"/>
  <c r="N175" i="3"/>
  <c r="O175" i="3" s="1"/>
  <c r="N173" i="3"/>
  <c r="O173" i="3" s="1"/>
  <c r="I173" i="3" s="1"/>
  <c r="N171" i="3"/>
  <c r="O171" i="3" s="1"/>
  <c r="N169" i="3"/>
  <c r="O169" i="3" s="1"/>
  <c r="N168" i="3"/>
  <c r="O168" i="3" s="1"/>
  <c r="N165" i="3"/>
  <c r="O165" i="3" s="1"/>
  <c r="N156" i="3"/>
  <c r="O156" i="3" s="1"/>
  <c r="N160" i="3"/>
  <c r="O160" i="3" s="1"/>
  <c r="N164" i="3"/>
  <c r="O164" i="3" s="1"/>
  <c r="N157" i="3"/>
  <c r="O157" i="3" s="1"/>
  <c r="N161" i="3"/>
  <c r="O161" i="3" s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4" i="3"/>
  <c r="I207" i="3" l="1"/>
  <c r="I198" i="3"/>
  <c r="I162" i="3"/>
  <c r="I212" i="3"/>
  <c r="I291" i="3"/>
  <c r="I179" i="3"/>
  <c r="I216" i="3"/>
  <c r="I208" i="3"/>
  <c r="I211" i="3"/>
  <c r="I195" i="3"/>
  <c r="I193" i="3"/>
  <c r="I293" i="3"/>
  <c r="I204" i="3"/>
  <c r="I205" i="3"/>
  <c r="I185" i="3"/>
  <c r="I302" i="3"/>
  <c r="I164" i="3"/>
  <c r="I191" i="3"/>
  <c r="I201" i="3"/>
  <c r="I290" i="3"/>
  <c r="I187" i="3"/>
  <c r="I196" i="3"/>
  <c r="I298" i="3"/>
  <c r="I183" i="3"/>
  <c r="I227" i="3"/>
  <c r="I184" i="3"/>
  <c r="I175" i="3"/>
  <c r="I171" i="3"/>
  <c r="I221" i="3"/>
  <c r="I224" i="3"/>
  <c r="I228" i="3"/>
  <c r="I297" i="3"/>
  <c r="I177" i="3"/>
  <c r="I157" i="3"/>
  <c r="I168" i="3"/>
  <c r="I160" i="3"/>
  <c r="I218" i="3"/>
  <c r="I206" i="3"/>
  <c r="I220" i="3"/>
  <c r="I229" i="3"/>
  <c r="I192" i="3"/>
  <c r="I197" i="3"/>
  <c r="I203" i="3"/>
  <c r="I165" i="3"/>
  <c r="I223" i="3"/>
  <c r="I189" i="3"/>
  <c r="I200" i="3"/>
  <c r="I217" i="3"/>
  <c r="I176" i="3"/>
  <c r="I226" i="3"/>
  <c r="I230" i="3"/>
  <c r="I194" i="3"/>
  <c r="I222" i="3"/>
  <c r="I294" i="3"/>
  <c r="I161" i="3"/>
  <c r="I156" i="3"/>
  <c r="I181" i="3"/>
  <c r="I188" i="3"/>
  <c r="I225" i="3"/>
  <c r="I215" i="3"/>
  <c r="I186" i="3"/>
  <c r="I169" i="3"/>
  <c r="I202" i="3"/>
  <c r="I210" i="3"/>
  <c r="I178" i="3"/>
  <c r="I199" i="3"/>
  <c r="I190" i="3"/>
  <c r="I180" i="3"/>
  <c r="I219" i="3"/>
  <c r="J53" i="3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K53" i="3" s="1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3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N65" i="3" s="1"/>
  <c r="O65" i="3" s="1"/>
  <c r="M47" i="3"/>
  <c r="M48" i="3"/>
  <c r="M49" i="3"/>
  <c r="M50" i="3"/>
  <c r="N58" i="3" s="1"/>
  <c r="O58" i="3" s="1"/>
  <c r="M51" i="3"/>
  <c r="M52" i="3"/>
  <c r="M53" i="3"/>
  <c r="M54" i="3"/>
  <c r="N62" i="3" s="1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4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R153" i="3" s="1"/>
  <c r="I153" i="3" s="1"/>
  <c r="Q52" i="3"/>
  <c r="P52" i="3"/>
  <c r="N67" i="3"/>
  <c r="O67" i="3" s="1"/>
  <c r="N57" i="3" l="1"/>
  <c r="O57" i="3" s="1"/>
  <c r="N56" i="3"/>
  <c r="O56" i="3" s="1"/>
  <c r="N66" i="3"/>
  <c r="O66" i="3" s="1"/>
  <c r="N63" i="3"/>
  <c r="O63" i="3" s="1"/>
  <c r="N59" i="3"/>
  <c r="O59" i="3" s="1"/>
  <c r="N55" i="3"/>
  <c r="O55" i="3" s="1"/>
  <c r="N53" i="3"/>
  <c r="O53" i="3" s="1"/>
  <c r="N61" i="3"/>
  <c r="O61" i="3" s="1"/>
  <c r="N64" i="3"/>
  <c r="O64" i="3" s="1"/>
  <c r="N60" i="3"/>
  <c r="O60" i="3" s="1"/>
  <c r="N54" i="3"/>
  <c r="O54" i="3" s="1"/>
  <c r="N68" i="3"/>
  <c r="O68" i="3" s="1"/>
  <c r="N93" i="3"/>
  <c r="N128" i="3"/>
  <c r="O128" i="3" s="1"/>
  <c r="R150" i="3"/>
  <c r="R126" i="3"/>
  <c r="R94" i="3"/>
  <c r="R86" i="3"/>
  <c r="R54" i="3"/>
  <c r="R140" i="3"/>
  <c r="R108" i="3"/>
  <c r="R76" i="3"/>
  <c r="O62" i="3"/>
  <c r="R145" i="3"/>
  <c r="R137" i="3"/>
  <c r="R129" i="3"/>
  <c r="R121" i="3"/>
  <c r="R113" i="3"/>
  <c r="R105" i="3"/>
  <c r="R97" i="3"/>
  <c r="R89" i="3"/>
  <c r="R81" i="3"/>
  <c r="R73" i="3"/>
  <c r="R65" i="3"/>
  <c r="I65" i="3" s="1"/>
  <c r="R57" i="3"/>
  <c r="R151" i="3"/>
  <c r="R143" i="3"/>
  <c r="R135" i="3"/>
  <c r="R127" i="3"/>
  <c r="R119" i="3"/>
  <c r="R111" i="3"/>
  <c r="R103" i="3"/>
  <c r="R95" i="3"/>
  <c r="R87" i="3"/>
  <c r="R79" i="3"/>
  <c r="R71" i="3"/>
  <c r="R67" i="3"/>
  <c r="I67" i="3" s="1"/>
  <c r="R63" i="3"/>
  <c r="R55" i="3"/>
  <c r="R152" i="3"/>
  <c r="R144" i="3"/>
  <c r="R136" i="3"/>
  <c r="R128" i="3"/>
  <c r="R120" i="3"/>
  <c r="R60" i="3"/>
  <c r="R53" i="3"/>
  <c r="R146" i="3"/>
  <c r="R142" i="3"/>
  <c r="R138" i="3"/>
  <c r="R134" i="3"/>
  <c r="R130" i="3"/>
  <c r="R122" i="3"/>
  <c r="R118" i="3"/>
  <c r="R114" i="3"/>
  <c r="R110" i="3"/>
  <c r="R106" i="3"/>
  <c r="R102" i="3"/>
  <c r="R98" i="3"/>
  <c r="R90" i="3"/>
  <c r="R82" i="3"/>
  <c r="R78" i="3"/>
  <c r="R74" i="3"/>
  <c r="R70" i="3"/>
  <c r="R66" i="3"/>
  <c r="R62" i="3"/>
  <c r="R58" i="3"/>
  <c r="I58" i="3" s="1"/>
  <c r="R147" i="3"/>
  <c r="R139" i="3"/>
  <c r="R131" i="3"/>
  <c r="R123" i="3"/>
  <c r="R115" i="3"/>
  <c r="R107" i="3"/>
  <c r="R99" i="3"/>
  <c r="R91" i="3"/>
  <c r="R83" i="3"/>
  <c r="R75" i="3"/>
  <c r="R59" i="3"/>
  <c r="R148" i="3"/>
  <c r="R132" i="3"/>
  <c r="R124" i="3"/>
  <c r="R116" i="3"/>
  <c r="R112" i="3"/>
  <c r="R104" i="3"/>
  <c r="R100" i="3"/>
  <c r="R96" i="3"/>
  <c r="R92" i="3"/>
  <c r="R88" i="3"/>
  <c r="R84" i="3"/>
  <c r="R80" i="3"/>
  <c r="R72" i="3"/>
  <c r="R68" i="3"/>
  <c r="R64" i="3"/>
  <c r="R56" i="3"/>
  <c r="R149" i="3"/>
  <c r="R141" i="3"/>
  <c r="R133" i="3"/>
  <c r="R125" i="3"/>
  <c r="R117" i="3"/>
  <c r="R109" i="3"/>
  <c r="R101" i="3"/>
  <c r="R93" i="3"/>
  <c r="R85" i="3"/>
  <c r="R77" i="3"/>
  <c r="R69" i="3"/>
  <c r="R61" i="3"/>
  <c r="N144" i="3"/>
  <c r="O144" i="3" s="1"/>
  <c r="N112" i="3"/>
  <c r="O112" i="3" s="1"/>
  <c r="N107" i="3"/>
  <c r="N96" i="3"/>
  <c r="O96" i="3" s="1"/>
  <c r="N80" i="3"/>
  <c r="O80" i="3" s="1"/>
  <c r="N79" i="3"/>
  <c r="O79" i="3" s="1"/>
  <c r="N150" i="3"/>
  <c r="N131" i="3"/>
  <c r="N118" i="3"/>
  <c r="N113" i="3"/>
  <c r="O113" i="3" s="1"/>
  <c r="N103" i="3"/>
  <c r="N86" i="3"/>
  <c r="N69" i="3"/>
  <c r="O69" i="3" s="1"/>
  <c r="N134" i="3"/>
  <c r="N126" i="3"/>
  <c r="N117" i="3"/>
  <c r="N143" i="3"/>
  <c r="O143" i="3" s="1"/>
  <c r="N145" i="3"/>
  <c r="O145" i="3" s="1"/>
  <c r="N78" i="3"/>
  <c r="O78" i="3" s="1"/>
  <c r="N85" i="3"/>
  <c r="O85" i="3" s="1"/>
  <c r="N135" i="3"/>
  <c r="O135" i="3" s="1"/>
  <c r="N70" i="3"/>
  <c r="O70" i="3" s="1"/>
  <c r="N102" i="3"/>
  <c r="O102" i="3" s="1"/>
  <c r="N151" i="3"/>
  <c r="O151" i="3" s="1"/>
  <c r="N147" i="3"/>
  <c r="O147" i="3" s="1"/>
  <c r="N148" i="3"/>
  <c r="O148" i="3" s="1"/>
  <c r="N146" i="3"/>
  <c r="O146" i="3" s="1"/>
  <c r="N140" i="3"/>
  <c r="O140" i="3" s="1"/>
  <c r="N141" i="3"/>
  <c r="O141" i="3" s="1"/>
  <c r="N138" i="3"/>
  <c r="O138" i="3" s="1"/>
  <c r="N133" i="3"/>
  <c r="O133" i="3" s="1"/>
  <c r="N132" i="3"/>
  <c r="O132" i="3" s="1"/>
  <c r="N130" i="3"/>
  <c r="O130" i="3" s="1"/>
  <c r="N129" i="3"/>
  <c r="O129" i="3" s="1"/>
  <c r="N127" i="3"/>
  <c r="O127" i="3" s="1"/>
  <c r="N124" i="3"/>
  <c r="O124" i="3" s="1"/>
  <c r="N123" i="3"/>
  <c r="O123" i="3" s="1"/>
  <c r="N122" i="3"/>
  <c r="O122" i="3" s="1"/>
  <c r="N121" i="3"/>
  <c r="O121" i="3" s="1"/>
  <c r="N119" i="3"/>
  <c r="O119" i="3" s="1"/>
  <c r="N115" i="3"/>
  <c r="O115" i="3" s="1"/>
  <c r="N116" i="3"/>
  <c r="O116" i="3" s="1"/>
  <c r="N114" i="3"/>
  <c r="O114" i="3" s="1"/>
  <c r="N108" i="3"/>
  <c r="O108" i="3" s="1"/>
  <c r="N109" i="3"/>
  <c r="O109" i="3" s="1"/>
  <c r="N106" i="3"/>
  <c r="O106" i="3" s="1"/>
  <c r="N101" i="3"/>
  <c r="O101" i="3" s="1"/>
  <c r="N100" i="3"/>
  <c r="O100" i="3" s="1"/>
  <c r="N98" i="3"/>
  <c r="O98" i="3" s="1"/>
  <c r="N97" i="3"/>
  <c r="O97" i="3" s="1"/>
  <c r="N95" i="3"/>
  <c r="O95" i="3" s="1"/>
  <c r="N92" i="3"/>
  <c r="O92" i="3" s="1"/>
  <c r="N91" i="3"/>
  <c r="O91" i="3" s="1"/>
  <c r="N90" i="3"/>
  <c r="O90" i="3" s="1"/>
  <c r="N89" i="3"/>
  <c r="O89" i="3" s="1"/>
  <c r="N81" i="3"/>
  <c r="O81" i="3" s="1"/>
  <c r="N73" i="3"/>
  <c r="O73" i="3" s="1"/>
  <c r="N87" i="3"/>
  <c r="O87" i="3" s="1"/>
  <c r="N83" i="3"/>
  <c r="O83" i="3" s="1"/>
  <c r="N84" i="3"/>
  <c r="O84" i="3" s="1"/>
  <c r="N76" i="3"/>
  <c r="O76" i="3" s="1"/>
  <c r="N77" i="3"/>
  <c r="O77" i="3" s="1"/>
  <c r="N82" i="3"/>
  <c r="O82" i="3" s="1"/>
  <c r="N74" i="3"/>
  <c r="O74" i="3" s="1"/>
  <c r="N137" i="3"/>
  <c r="O137" i="3" s="1"/>
  <c r="N105" i="3"/>
  <c r="O105" i="3" s="1"/>
  <c r="N94" i="3"/>
  <c r="O94" i="3" s="1"/>
  <c r="N110" i="3"/>
  <c r="O110" i="3" s="1"/>
  <c r="N142" i="3"/>
  <c r="O142" i="3" s="1"/>
  <c r="N71" i="3"/>
  <c r="O71" i="3" s="1"/>
  <c r="N99" i="3"/>
  <c r="O99" i="3" s="1"/>
  <c r="N149" i="3"/>
  <c r="O149" i="3" s="1"/>
  <c r="N72" i="3"/>
  <c r="O72" i="3" s="1"/>
  <c r="N88" i="3"/>
  <c r="O88" i="3" s="1"/>
  <c r="N104" i="3"/>
  <c r="O104" i="3" s="1"/>
  <c r="N120" i="3"/>
  <c r="O120" i="3" s="1"/>
  <c r="N136" i="3"/>
  <c r="O136" i="3" s="1"/>
  <c r="N152" i="3"/>
  <c r="O152" i="3" s="1"/>
  <c r="N75" i="3"/>
  <c r="O75" i="3" s="1"/>
  <c r="N111" i="3"/>
  <c r="O111" i="3" s="1"/>
  <c r="N125" i="3"/>
  <c r="O125" i="3" s="1"/>
  <c r="N139" i="3"/>
  <c r="O139" i="3" s="1"/>
  <c r="I57" i="3" l="1"/>
  <c r="I63" i="3"/>
  <c r="I59" i="3"/>
  <c r="I66" i="3"/>
  <c r="I53" i="3"/>
  <c r="J54" i="3" s="1"/>
  <c r="K54" i="3" s="1"/>
  <c r="I68" i="3"/>
  <c r="I64" i="3"/>
  <c r="I60" i="3"/>
  <c r="L53" i="3"/>
  <c r="I152" i="3"/>
  <c r="I88" i="3"/>
  <c r="I75" i="3"/>
  <c r="I72" i="3"/>
  <c r="I98" i="3"/>
  <c r="I115" i="3"/>
  <c r="I147" i="3"/>
  <c r="I85" i="3"/>
  <c r="I56" i="3"/>
  <c r="I108" i="3"/>
  <c r="I119" i="3"/>
  <c r="I132" i="3"/>
  <c r="I151" i="3"/>
  <c r="I149" i="3"/>
  <c r="I74" i="3"/>
  <c r="I81" i="3"/>
  <c r="I145" i="3"/>
  <c r="I105" i="3"/>
  <c r="I95" i="3"/>
  <c r="I127" i="3"/>
  <c r="I146" i="3"/>
  <c r="I71" i="3"/>
  <c r="I116" i="3"/>
  <c r="I135" i="3"/>
  <c r="I80" i="3"/>
  <c r="I128" i="3"/>
  <c r="I76" i="3"/>
  <c r="I136" i="3"/>
  <c r="O93" i="3"/>
  <c r="I93" i="3" s="1"/>
  <c r="I125" i="3"/>
  <c r="I91" i="3"/>
  <c r="I123" i="3"/>
  <c r="I83" i="3"/>
  <c r="I114" i="3"/>
  <c r="I113" i="3"/>
  <c r="I96" i="3"/>
  <c r="I110" i="3"/>
  <c r="I73" i="3"/>
  <c r="I109" i="3"/>
  <c r="I130" i="3"/>
  <c r="I141" i="3"/>
  <c r="I70" i="3"/>
  <c r="I112" i="3"/>
  <c r="I104" i="3"/>
  <c r="I69" i="3"/>
  <c r="I120" i="3"/>
  <c r="I142" i="3"/>
  <c r="I87" i="3"/>
  <c r="I97" i="3"/>
  <c r="I106" i="3"/>
  <c r="I122" i="3"/>
  <c r="I129" i="3"/>
  <c r="I99" i="3"/>
  <c r="I82" i="3"/>
  <c r="I89" i="3"/>
  <c r="I101" i="3"/>
  <c r="I121" i="3"/>
  <c r="I133" i="3"/>
  <c r="I54" i="3"/>
  <c r="I139" i="3"/>
  <c r="I137" i="3"/>
  <c r="I77" i="3"/>
  <c r="I90" i="3"/>
  <c r="I138" i="3"/>
  <c r="I148" i="3"/>
  <c r="I102" i="3"/>
  <c r="I78" i="3"/>
  <c r="I79" i="3"/>
  <c r="I55" i="3"/>
  <c r="I62" i="3"/>
  <c r="I111" i="3"/>
  <c r="I94" i="3"/>
  <c r="I84" i="3"/>
  <c r="I92" i="3"/>
  <c r="I100" i="3"/>
  <c r="I124" i="3"/>
  <c r="I140" i="3"/>
  <c r="I143" i="3"/>
  <c r="I144" i="3"/>
  <c r="I61" i="3"/>
  <c r="O103" i="3"/>
  <c r="I103" i="3" s="1"/>
  <c r="O150" i="3"/>
  <c r="I150" i="3" s="1"/>
  <c r="O126" i="3"/>
  <c r="I126" i="3" s="1"/>
  <c r="O86" i="3"/>
  <c r="I86" i="3" s="1"/>
  <c r="O131" i="3"/>
  <c r="I131" i="3" s="1"/>
  <c r="O107" i="3"/>
  <c r="I107" i="3" s="1"/>
  <c r="O134" i="3"/>
  <c r="I134" i="3" s="1"/>
  <c r="O117" i="3"/>
  <c r="I117" i="3" s="1"/>
  <c r="O118" i="3"/>
  <c r="I118" i="3" s="1"/>
  <c r="J55" i="3" l="1"/>
  <c r="K55" i="3" s="1"/>
  <c r="L54" i="3"/>
  <c r="J56" i="3" l="1"/>
  <c r="J57" i="3" s="1"/>
  <c r="K57" i="3" s="1"/>
  <c r="L55" i="3"/>
  <c r="K56" i="3" l="1"/>
  <c r="L56" i="3" s="1"/>
  <c r="J58" i="3"/>
  <c r="J59" i="3" l="1"/>
  <c r="K59" i="3" s="1"/>
  <c r="K58" i="3"/>
  <c r="L57" i="3"/>
  <c r="J60" i="3" l="1"/>
  <c r="K60" i="3" s="1"/>
  <c r="L58" i="3"/>
  <c r="J61" i="3" l="1"/>
  <c r="K61" i="3" s="1"/>
  <c r="L59" i="3"/>
  <c r="J62" i="3" l="1"/>
  <c r="K62" i="3" s="1"/>
  <c r="L60" i="3"/>
  <c r="J63" i="3" l="1"/>
  <c r="K63" i="3" s="1"/>
  <c r="L61" i="3"/>
  <c r="J64" i="3" l="1"/>
  <c r="K64" i="3" s="1"/>
  <c r="L62" i="3"/>
  <c r="J65" i="3" l="1"/>
  <c r="K65" i="3" s="1"/>
  <c r="L63" i="3"/>
  <c r="J66" i="3" l="1"/>
  <c r="K66" i="3" s="1"/>
  <c r="L64" i="3"/>
  <c r="J67" i="3" l="1"/>
  <c r="K67" i="3" s="1"/>
  <c r="L65" i="3"/>
  <c r="J68" i="3" l="1"/>
  <c r="K68" i="3" s="1"/>
  <c r="L66" i="3"/>
  <c r="J69" i="3" l="1"/>
  <c r="K69" i="3" s="1"/>
  <c r="L67" i="3"/>
  <c r="J70" i="3" l="1"/>
  <c r="K70" i="3" s="1"/>
  <c r="L68" i="3"/>
  <c r="J71" i="3" l="1"/>
  <c r="L69" i="3"/>
  <c r="J72" i="3" l="1"/>
  <c r="K72" i="3" s="1"/>
  <c r="K71" i="3"/>
  <c r="L70" i="3"/>
  <c r="J73" i="3" l="1"/>
  <c r="K73" i="3" s="1"/>
  <c r="L71" i="3"/>
  <c r="J74" i="3" l="1"/>
  <c r="K74" i="3" s="1"/>
  <c r="L72" i="3"/>
  <c r="J75" i="3" l="1"/>
  <c r="K75" i="3" s="1"/>
  <c r="L73" i="3"/>
  <c r="J76" i="3" l="1"/>
  <c r="K76" i="3" s="1"/>
  <c r="L74" i="3"/>
  <c r="J77" i="3" l="1"/>
  <c r="K77" i="3" s="1"/>
  <c r="L75" i="3"/>
  <c r="J78" i="3" l="1"/>
  <c r="K78" i="3" s="1"/>
  <c r="L76" i="3"/>
  <c r="J79" i="3" l="1"/>
  <c r="K79" i="3" s="1"/>
  <c r="L77" i="3"/>
  <c r="J80" i="3" l="1"/>
  <c r="K80" i="3" s="1"/>
  <c r="L78" i="3"/>
  <c r="J81" i="3" l="1"/>
  <c r="K81" i="3" s="1"/>
  <c r="L79" i="3"/>
  <c r="J82" i="3" l="1"/>
  <c r="K82" i="3" s="1"/>
  <c r="L80" i="3"/>
  <c r="J83" i="3" l="1"/>
  <c r="K83" i="3" s="1"/>
  <c r="L81" i="3"/>
  <c r="J84" i="3" l="1"/>
  <c r="K84" i="3" s="1"/>
  <c r="L82" i="3"/>
  <c r="J85" i="3" l="1"/>
  <c r="K85" i="3" s="1"/>
  <c r="L83" i="3"/>
  <c r="J86" i="3" l="1"/>
  <c r="K86" i="3" s="1"/>
  <c r="L84" i="3"/>
  <c r="J87" i="3" l="1"/>
  <c r="K87" i="3" s="1"/>
  <c r="L85" i="3"/>
  <c r="J88" i="3" l="1"/>
  <c r="K88" i="3" s="1"/>
  <c r="L86" i="3"/>
  <c r="J89" i="3" l="1"/>
  <c r="K89" i="3" s="1"/>
  <c r="L87" i="3"/>
  <c r="J90" i="3" l="1"/>
  <c r="K90" i="3" s="1"/>
  <c r="L88" i="3"/>
  <c r="J91" i="3" l="1"/>
  <c r="K91" i="3" s="1"/>
  <c r="L89" i="3"/>
  <c r="J92" i="3" l="1"/>
  <c r="K92" i="3" s="1"/>
  <c r="L90" i="3"/>
  <c r="J93" i="3" l="1"/>
  <c r="K93" i="3" s="1"/>
  <c r="L91" i="3"/>
  <c r="J94" i="3" l="1"/>
  <c r="K94" i="3" s="1"/>
  <c r="L92" i="3"/>
  <c r="J95" i="3" l="1"/>
  <c r="K95" i="3" s="1"/>
  <c r="L93" i="3"/>
  <c r="J96" i="3" l="1"/>
  <c r="K96" i="3" s="1"/>
  <c r="L94" i="3"/>
  <c r="J97" i="3" l="1"/>
  <c r="L95" i="3"/>
  <c r="J98" i="3" l="1"/>
  <c r="K98" i="3" s="1"/>
  <c r="K97" i="3"/>
  <c r="L96" i="3"/>
  <c r="J99" i="3" l="1"/>
  <c r="K99" i="3" s="1"/>
  <c r="L97" i="3"/>
  <c r="J100" i="3" l="1"/>
  <c r="K100" i="3" s="1"/>
  <c r="L98" i="3"/>
  <c r="J101" i="3" l="1"/>
  <c r="K101" i="3" s="1"/>
  <c r="L99" i="3"/>
  <c r="J102" i="3" l="1"/>
  <c r="K102" i="3" s="1"/>
  <c r="L100" i="3"/>
  <c r="J103" i="3" l="1"/>
  <c r="K103" i="3" s="1"/>
  <c r="L101" i="3"/>
  <c r="J104" i="3" l="1"/>
  <c r="K104" i="3" s="1"/>
  <c r="L102" i="3"/>
  <c r="J105" i="3" l="1"/>
  <c r="K105" i="3" s="1"/>
  <c r="L103" i="3"/>
  <c r="J106" i="3" l="1"/>
  <c r="L104" i="3"/>
  <c r="J107" i="3" l="1"/>
  <c r="K107" i="3" s="1"/>
  <c r="K106" i="3"/>
  <c r="L105" i="3"/>
  <c r="J108" i="3" l="1"/>
  <c r="K108" i="3" s="1"/>
  <c r="L106" i="3"/>
  <c r="J109" i="3" l="1"/>
  <c r="L107" i="3"/>
  <c r="J110" i="3" l="1"/>
  <c r="K110" i="3" s="1"/>
  <c r="K109" i="3"/>
  <c r="L108" i="3"/>
  <c r="J111" i="3" l="1"/>
  <c r="K111" i="3" s="1"/>
  <c r="L109" i="3"/>
  <c r="J112" i="3" l="1"/>
  <c r="L110" i="3"/>
  <c r="J113" i="3" l="1"/>
  <c r="K113" i="3" s="1"/>
  <c r="K112" i="3"/>
  <c r="L111" i="3"/>
  <c r="J114" i="3" l="1"/>
  <c r="K114" i="3" s="1"/>
  <c r="L112" i="3"/>
  <c r="J115" i="3" l="1"/>
  <c r="K115" i="3" s="1"/>
  <c r="L113" i="3"/>
  <c r="J116" i="3" l="1"/>
  <c r="K116" i="3" s="1"/>
  <c r="L114" i="3"/>
  <c r="J117" i="3" l="1"/>
  <c r="K117" i="3" s="1"/>
  <c r="L115" i="3"/>
  <c r="J118" i="3" l="1"/>
  <c r="K118" i="3" s="1"/>
  <c r="L116" i="3"/>
  <c r="J119" i="3" l="1"/>
  <c r="L117" i="3"/>
  <c r="J120" i="3" l="1"/>
  <c r="K120" i="3" s="1"/>
  <c r="K119" i="3"/>
  <c r="L118" i="3"/>
  <c r="J121" i="3" l="1"/>
  <c r="K121" i="3" s="1"/>
  <c r="L119" i="3"/>
  <c r="J122" i="3" l="1"/>
  <c r="L120" i="3"/>
  <c r="J123" i="3" l="1"/>
  <c r="K123" i="3" s="1"/>
  <c r="K122" i="3"/>
  <c r="L121" i="3"/>
  <c r="J124" i="3" l="1"/>
  <c r="K124" i="3" s="1"/>
  <c r="L122" i="3"/>
  <c r="J125" i="3" l="1"/>
  <c r="K125" i="3" s="1"/>
  <c r="L123" i="3"/>
  <c r="J126" i="3" l="1"/>
  <c r="K126" i="3" s="1"/>
  <c r="L124" i="3"/>
  <c r="J127" i="3" l="1"/>
  <c r="K127" i="3" s="1"/>
  <c r="L125" i="3"/>
  <c r="J128" i="3" l="1"/>
  <c r="K128" i="3" s="1"/>
  <c r="L126" i="3"/>
  <c r="J129" i="3" l="1"/>
  <c r="K129" i="3" s="1"/>
  <c r="L127" i="3"/>
  <c r="J130" i="3" l="1"/>
  <c r="K130" i="3" s="1"/>
  <c r="L128" i="3"/>
  <c r="J131" i="3" l="1"/>
  <c r="K131" i="3" s="1"/>
  <c r="L129" i="3"/>
  <c r="J132" i="3" l="1"/>
  <c r="K132" i="3" s="1"/>
  <c r="L130" i="3"/>
  <c r="J133" i="3" l="1"/>
  <c r="K133" i="3" s="1"/>
  <c r="L131" i="3"/>
  <c r="J134" i="3" l="1"/>
  <c r="L132" i="3"/>
  <c r="J135" i="3" l="1"/>
  <c r="K135" i="3" s="1"/>
  <c r="K134" i="3"/>
  <c r="L133" i="3"/>
  <c r="J136" i="3" l="1"/>
  <c r="K136" i="3" s="1"/>
  <c r="L134" i="3"/>
  <c r="J137" i="3" l="1"/>
  <c r="K137" i="3" s="1"/>
  <c r="L135" i="3"/>
  <c r="J138" i="3" l="1"/>
  <c r="K138" i="3" s="1"/>
  <c r="L136" i="3"/>
  <c r="J139" i="3" l="1"/>
  <c r="K139" i="3" s="1"/>
  <c r="L137" i="3"/>
  <c r="J140" i="3" l="1"/>
  <c r="K140" i="3" s="1"/>
  <c r="L138" i="3"/>
  <c r="J141" i="3" l="1"/>
  <c r="L139" i="3"/>
  <c r="J142" i="3" l="1"/>
  <c r="K142" i="3" s="1"/>
  <c r="K141" i="3"/>
  <c r="L140" i="3"/>
  <c r="J143" i="3" l="1"/>
  <c r="K143" i="3" s="1"/>
  <c r="L141" i="3"/>
  <c r="J144" i="3" l="1"/>
  <c r="K144" i="3" s="1"/>
  <c r="L142" i="3"/>
  <c r="J145" i="3" l="1"/>
  <c r="K145" i="3" s="1"/>
  <c r="L143" i="3"/>
  <c r="J146" i="3" l="1"/>
  <c r="L144" i="3"/>
  <c r="J147" i="3" l="1"/>
  <c r="K147" i="3" s="1"/>
  <c r="K146" i="3"/>
  <c r="L145" i="3"/>
  <c r="J148" i="3" l="1"/>
  <c r="K148" i="3" s="1"/>
  <c r="L146" i="3"/>
  <c r="J149" i="3" l="1"/>
  <c r="K149" i="3" s="1"/>
  <c r="L147" i="3"/>
  <c r="J150" i="3" l="1"/>
  <c r="K150" i="3" s="1"/>
  <c r="L148" i="3"/>
  <c r="J151" i="3" l="1"/>
  <c r="L149" i="3"/>
  <c r="J152" i="3" l="1"/>
  <c r="K151" i="3"/>
  <c r="L150" i="3"/>
  <c r="K152" i="3" l="1"/>
  <c r="J153" i="3"/>
  <c r="L151" i="3"/>
  <c r="J154" i="3" l="1"/>
  <c r="K153" i="3"/>
  <c r="L152" i="3"/>
  <c r="L153" i="3" l="1"/>
  <c r="J155" i="3"/>
  <c r="K154" i="3"/>
  <c r="J156" i="3" l="1"/>
  <c r="K155" i="3"/>
  <c r="L154" i="3"/>
  <c r="J157" i="3" l="1"/>
  <c r="L155" i="3"/>
  <c r="K156" i="3"/>
  <c r="L156" i="3" l="1"/>
  <c r="J158" i="3"/>
  <c r="K157" i="3"/>
  <c r="L157" i="3" l="1"/>
  <c r="J159" i="3"/>
  <c r="K158" i="3"/>
  <c r="L158" i="3" l="1"/>
  <c r="J160" i="3"/>
  <c r="K160" i="3" s="1"/>
  <c r="K159" i="3"/>
  <c r="L159" i="3" l="1"/>
  <c r="L160" i="3" s="1"/>
  <c r="J161" i="3"/>
  <c r="J162" i="3" l="1"/>
  <c r="K161" i="3"/>
  <c r="L161" i="3" s="1"/>
  <c r="J163" i="3" l="1"/>
  <c r="K162" i="3"/>
  <c r="L162" i="3" s="1"/>
  <c r="J164" i="3" l="1"/>
  <c r="K163" i="3"/>
  <c r="L163" i="3" s="1"/>
  <c r="J165" i="3" l="1"/>
  <c r="K165" i="3" s="1"/>
  <c r="K164" i="3"/>
  <c r="L164" i="3" s="1"/>
  <c r="L165" i="3" l="1"/>
  <c r="J166" i="3"/>
  <c r="J167" i="3" l="1"/>
  <c r="K166" i="3"/>
  <c r="L166" i="3" s="1"/>
  <c r="J168" i="3" l="1"/>
  <c r="K167" i="3"/>
  <c r="L167" i="3" s="1"/>
  <c r="J169" i="3" l="1"/>
  <c r="K168" i="3"/>
  <c r="L168" i="3" s="1"/>
  <c r="J170" i="3" l="1"/>
  <c r="K169" i="3"/>
  <c r="L169" i="3" s="1"/>
  <c r="J171" i="3" l="1"/>
  <c r="K170" i="3"/>
  <c r="L170" i="3" s="1"/>
  <c r="J172" i="3" l="1"/>
  <c r="K171" i="3"/>
  <c r="L171" i="3" s="1"/>
  <c r="J173" i="3" l="1"/>
  <c r="K172" i="3"/>
  <c r="L172" i="3" s="1"/>
  <c r="J174" i="3" l="1"/>
  <c r="K173" i="3"/>
  <c r="L173" i="3" s="1"/>
  <c r="J175" i="3" l="1"/>
  <c r="K174" i="3"/>
  <c r="L174" i="3" s="1"/>
  <c r="J176" i="3" l="1"/>
  <c r="K176" i="3" s="1"/>
  <c r="K175" i="3"/>
  <c r="L175" i="3" s="1"/>
  <c r="L176" i="3" l="1"/>
  <c r="J177" i="3"/>
  <c r="J178" i="3" l="1"/>
  <c r="K177" i="3"/>
  <c r="L177" i="3" s="1"/>
  <c r="J179" i="3" l="1"/>
  <c r="K178" i="3"/>
  <c r="L178" i="3" s="1"/>
  <c r="J180" i="3" l="1"/>
  <c r="K179" i="3"/>
  <c r="L179" i="3" s="1"/>
  <c r="J181" i="3" l="1"/>
  <c r="K180" i="3"/>
  <c r="L180" i="3" s="1"/>
  <c r="J182" i="3" l="1"/>
  <c r="K181" i="3"/>
  <c r="L181" i="3" s="1"/>
  <c r="J183" i="3" l="1"/>
  <c r="K182" i="3"/>
  <c r="L182" i="3" s="1"/>
  <c r="J184" i="3" l="1"/>
  <c r="K183" i="3"/>
  <c r="L183" i="3" s="1"/>
  <c r="J185" i="3" l="1"/>
  <c r="K185" i="3" s="1"/>
  <c r="K184" i="3"/>
  <c r="L184" i="3" s="1"/>
  <c r="L185" i="3" l="1"/>
  <c r="J186" i="3"/>
  <c r="J187" i="3" l="1"/>
  <c r="K186" i="3"/>
  <c r="L186" i="3" s="1"/>
  <c r="J188" i="3" l="1"/>
  <c r="K187" i="3"/>
  <c r="L187" i="3" s="1"/>
  <c r="J189" i="3" l="1"/>
  <c r="K188" i="3"/>
  <c r="L188" i="3" s="1"/>
  <c r="J190" i="3" l="1"/>
  <c r="K189" i="3"/>
  <c r="L189" i="3" s="1"/>
  <c r="J191" i="3" l="1"/>
  <c r="K190" i="3"/>
  <c r="L190" i="3" s="1"/>
  <c r="J192" i="3" l="1"/>
  <c r="K191" i="3"/>
  <c r="L191" i="3" s="1"/>
  <c r="J193" i="3" l="1"/>
  <c r="K192" i="3"/>
  <c r="L192" i="3" s="1"/>
  <c r="J194" i="3" l="1"/>
  <c r="K193" i="3"/>
  <c r="L193" i="3" s="1"/>
  <c r="J195" i="3" l="1"/>
  <c r="K194" i="3"/>
  <c r="L194" i="3" s="1"/>
  <c r="J196" i="3" l="1"/>
  <c r="K195" i="3"/>
  <c r="L195" i="3" s="1"/>
  <c r="J197" i="3" l="1"/>
  <c r="K196" i="3"/>
  <c r="L196" i="3" s="1"/>
  <c r="J198" i="3" l="1"/>
  <c r="K198" i="3" s="1"/>
  <c r="K197" i="3"/>
  <c r="L197" i="3" s="1"/>
  <c r="L198" i="3" l="1"/>
  <c r="J199" i="3"/>
  <c r="J200" i="3" l="1"/>
  <c r="K199" i="3"/>
  <c r="L199" i="3" s="1"/>
  <c r="J201" i="3" l="1"/>
  <c r="K200" i="3"/>
  <c r="L200" i="3" s="1"/>
  <c r="J202" i="3" l="1"/>
  <c r="K201" i="3"/>
  <c r="L201" i="3" s="1"/>
  <c r="J203" i="3" l="1"/>
  <c r="K202" i="3"/>
  <c r="L202" i="3" s="1"/>
  <c r="J204" i="3" l="1"/>
  <c r="K203" i="3"/>
  <c r="L203" i="3" s="1"/>
  <c r="J205" i="3" l="1"/>
  <c r="K204" i="3"/>
  <c r="L204" i="3" s="1"/>
  <c r="J206" i="3" l="1"/>
  <c r="K205" i="3"/>
  <c r="L205" i="3" s="1"/>
  <c r="J207" i="3" l="1"/>
  <c r="K206" i="3"/>
  <c r="L206" i="3" s="1"/>
  <c r="J208" i="3" l="1"/>
  <c r="K207" i="3"/>
  <c r="L207" i="3" s="1"/>
  <c r="J209" i="3" l="1"/>
  <c r="K208" i="3"/>
  <c r="L208" i="3" s="1"/>
  <c r="J210" i="3" l="1"/>
  <c r="K210" i="3" s="1"/>
  <c r="K209" i="3"/>
  <c r="L209" i="3" s="1"/>
  <c r="L210" i="3" l="1"/>
  <c r="J211" i="3"/>
  <c r="J212" i="3" l="1"/>
  <c r="K211" i="3"/>
  <c r="L211" i="3" s="1"/>
  <c r="J213" i="3" l="1"/>
  <c r="K212" i="3"/>
  <c r="L212" i="3" s="1"/>
  <c r="J214" i="3" l="1"/>
  <c r="K213" i="3"/>
  <c r="L213" i="3" s="1"/>
  <c r="J215" i="3" l="1"/>
  <c r="K214" i="3"/>
  <c r="L214" i="3" s="1"/>
  <c r="J216" i="3" l="1"/>
  <c r="K216" i="3" s="1"/>
  <c r="K215" i="3"/>
  <c r="L215" i="3" s="1"/>
  <c r="L216" i="3" l="1"/>
  <c r="J217" i="3"/>
  <c r="K217" i="3" s="1"/>
  <c r="J218" i="3" l="1"/>
  <c r="K218" i="3" s="1"/>
  <c r="L217" i="3"/>
  <c r="L218" i="3" l="1"/>
  <c r="J219" i="3"/>
  <c r="K219" i="3" s="1"/>
  <c r="J220" i="3" l="1"/>
  <c r="L219" i="3"/>
  <c r="J221" i="3" l="1"/>
  <c r="K221" i="3" s="1"/>
  <c r="K220" i="3"/>
  <c r="L220" i="3" s="1"/>
  <c r="L221" i="3" l="1"/>
  <c r="J222" i="3"/>
  <c r="J223" i="3" l="1"/>
  <c r="K223" i="3" s="1"/>
  <c r="K222" i="3"/>
  <c r="L222" i="3" s="1"/>
  <c r="L223" i="3" l="1"/>
  <c r="J224" i="3"/>
  <c r="K224" i="3" s="1"/>
  <c r="L224" i="3" l="1"/>
  <c r="J225" i="3"/>
  <c r="J226" i="3" l="1"/>
  <c r="K226" i="3" s="1"/>
  <c r="K225" i="3"/>
  <c r="L225" i="3" s="1"/>
  <c r="L226" i="3" l="1"/>
  <c r="J227" i="3"/>
  <c r="K227" i="3" s="1"/>
  <c r="L227" i="3" l="1"/>
  <c r="J228" i="3"/>
  <c r="K228" i="3" s="1"/>
  <c r="L228" i="3" l="1"/>
  <c r="J229" i="3"/>
  <c r="K229" i="3" s="1"/>
  <c r="L229" i="3" l="1"/>
  <c r="J230" i="3"/>
  <c r="K230" i="3" s="1"/>
  <c r="L230" i="3" l="1"/>
  <c r="J231" i="3"/>
  <c r="K231" i="3" s="1"/>
  <c r="L231" i="3" l="1"/>
  <c r="J232" i="3"/>
  <c r="K232" i="3" s="1"/>
  <c r="L232" i="3" l="1"/>
  <c r="J233" i="3"/>
  <c r="K233" i="3" s="1"/>
  <c r="L233" i="3" l="1"/>
  <c r="J234" i="3"/>
  <c r="K234" i="3" s="1"/>
  <c r="L234" i="3" l="1"/>
  <c r="J235" i="3"/>
  <c r="K235" i="3" s="1"/>
  <c r="L235" i="3" l="1"/>
  <c r="J236" i="3"/>
  <c r="K236" i="3" s="1"/>
  <c r="L236" i="3" l="1"/>
  <c r="J237" i="3"/>
  <c r="K237" i="3" s="1"/>
  <c r="L237" i="3" l="1"/>
  <c r="J238" i="3"/>
  <c r="K238" i="3" s="1"/>
  <c r="L238" i="3" l="1"/>
  <c r="J239" i="3"/>
  <c r="K239" i="3" s="1"/>
  <c r="L239" i="3" l="1"/>
  <c r="J240" i="3"/>
  <c r="K240" i="3" s="1"/>
  <c r="L240" i="3" l="1"/>
  <c r="J241" i="3"/>
  <c r="K241" i="3" s="1"/>
  <c r="L241" i="3" l="1"/>
  <c r="J242" i="3"/>
  <c r="K242" i="3" s="1"/>
  <c r="L242" i="3" l="1"/>
  <c r="J243" i="3"/>
  <c r="K243" i="3" s="1"/>
  <c r="L243" i="3" l="1"/>
  <c r="J244" i="3"/>
  <c r="K244" i="3" s="1"/>
  <c r="L244" i="3" l="1"/>
  <c r="J245" i="3"/>
  <c r="K245" i="3" s="1"/>
  <c r="L245" i="3" l="1"/>
  <c r="J246" i="3"/>
  <c r="K246" i="3" s="1"/>
  <c r="L246" i="3" l="1"/>
  <c r="J247" i="3"/>
  <c r="K247" i="3" s="1"/>
  <c r="L247" i="3" l="1"/>
  <c r="J248" i="3"/>
  <c r="K248" i="3" s="1"/>
  <c r="L248" i="3" l="1"/>
  <c r="J249" i="3"/>
  <c r="K249" i="3" s="1"/>
  <c r="L249" i="3" l="1"/>
  <c r="J250" i="3"/>
  <c r="K250" i="3" s="1"/>
  <c r="L250" i="3" l="1"/>
  <c r="J251" i="3"/>
  <c r="K251" i="3" s="1"/>
  <c r="L251" i="3" l="1"/>
  <c r="J252" i="3"/>
  <c r="K252" i="3" s="1"/>
  <c r="L252" i="3" l="1"/>
  <c r="J253" i="3"/>
  <c r="K253" i="3" s="1"/>
  <c r="L253" i="3" l="1"/>
  <c r="J254" i="3"/>
  <c r="K254" i="3" s="1"/>
  <c r="L254" i="3" l="1"/>
  <c r="J255" i="3"/>
  <c r="K255" i="3" s="1"/>
  <c r="L255" i="3" l="1"/>
  <c r="J256" i="3"/>
  <c r="K256" i="3" s="1"/>
  <c r="L256" i="3" l="1"/>
  <c r="J257" i="3"/>
  <c r="K257" i="3" s="1"/>
  <c r="L257" i="3" l="1"/>
  <c r="J258" i="3"/>
  <c r="K258" i="3" s="1"/>
  <c r="L258" i="3" l="1"/>
  <c r="J259" i="3"/>
  <c r="K259" i="3" s="1"/>
  <c r="L259" i="3" l="1"/>
  <c r="J260" i="3"/>
  <c r="K260" i="3" s="1"/>
  <c r="L260" i="3" l="1"/>
  <c r="J261" i="3"/>
  <c r="K261" i="3" s="1"/>
  <c r="L261" i="3" l="1"/>
  <c r="J262" i="3"/>
  <c r="K262" i="3" s="1"/>
  <c r="L262" i="3" l="1"/>
  <c r="J263" i="3"/>
  <c r="K263" i="3" s="1"/>
  <c r="L263" i="3" l="1"/>
  <c r="J264" i="3"/>
  <c r="K264" i="3" s="1"/>
  <c r="L264" i="3" l="1"/>
  <c r="J265" i="3"/>
  <c r="K265" i="3" s="1"/>
  <c r="L265" i="3" l="1"/>
  <c r="J266" i="3"/>
  <c r="K266" i="3" s="1"/>
  <c r="L266" i="3" l="1"/>
  <c r="J267" i="3"/>
  <c r="K267" i="3" s="1"/>
  <c r="L267" i="3" l="1"/>
  <c r="J268" i="3"/>
  <c r="K268" i="3" s="1"/>
  <c r="L268" i="3" l="1"/>
  <c r="J269" i="3"/>
  <c r="K269" i="3" s="1"/>
  <c r="L269" i="3" l="1"/>
  <c r="J270" i="3"/>
  <c r="K270" i="3" s="1"/>
  <c r="L270" i="3" l="1"/>
  <c r="J271" i="3"/>
  <c r="K271" i="3" s="1"/>
  <c r="L271" i="3" l="1"/>
  <c r="J272" i="3"/>
  <c r="K272" i="3" s="1"/>
  <c r="L272" i="3" l="1"/>
  <c r="J273" i="3"/>
  <c r="K273" i="3" s="1"/>
  <c r="L273" i="3" l="1"/>
  <c r="J274" i="3"/>
  <c r="K274" i="3" s="1"/>
  <c r="L274" i="3" l="1"/>
  <c r="J275" i="3"/>
  <c r="K275" i="3" s="1"/>
  <c r="L275" i="3" l="1"/>
  <c r="J276" i="3"/>
  <c r="K276" i="3" s="1"/>
  <c r="L276" i="3" l="1"/>
  <c r="J277" i="3"/>
  <c r="K277" i="3" s="1"/>
  <c r="L277" i="3" l="1"/>
  <c r="J278" i="3"/>
  <c r="K278" i="3" s="1"/>
  <c r="L278" i="3" l="1"/>
  <c r="J279" i="3"/>
  <c r="K279" i="3" s="1"/>
  <c r="L279" i="3" l="1"/>
  <c r="J280" i="3"/>
  <c r="K280" i="3" s="1"/>
  <c r="L280" i="3" l="1"/>
  <c r="J281" i="3"/>
  <c r="K281" i="3" s="1"/>
  <c r="L281" i="3" l="1"/>
  <c r="J282" i="3"/>
  <c r="K282" i="3" s="1"/>
  <c r="L282" i="3" l="1"/>
  <c r="J283" i="3"/>
  <c r="K283" i="3" s="1"/>
  <c r="L283" i="3" l="1"/>
  <c r="J284" i="3"/>
  <c r="K284" i="3" s="1"/>
  <c r="L284" i="3" l="1"/>
  <c r="J285" i="3"/>
  <c r="J286" i="3" l="1"/>
  <c r="K285" i="3"/>
  <c r="L285" i="3" s="1"/>
  <c r="J287" i="3" l="1"/>
  <c r="K286" i="3"/>
  <c r="L286" i="3" s="1"/>
  <c r="J288" i="3" l="1"/>
  <c r="K287" i="3"/>
  <c r="L287" i="3" s="1"/>
  <c r="J289" i="3" l="1"/>
  <c r="K288" i="3"/>
  <c r="L288" i="3" s="1"/>
  <c r="J290" i="3" l="1"/>
  <c r="K289" i="3"/>
  <c r="L289" i="3" s="1"/>
  <c r="J291" i="3" l="1"/>
  <c r="K290" i="3"/>
  <c r="L290" i="3" s="1"/>
  <c r="J292" i="3" l="1"/>
  <c r="K291" i="3"/>
  <c r="L291" i="3" s="1"/>
  <c r="J293" i="3" l="1"/>
  <c r="K292" i="3"/>
  <c r="L292" i="3" s="1"/>
  <c r="J294" i="3" l="1"/>
  <c r="K293" i="3"/>
  <c r="L293" i="3" s="1"/>
  <c r="J295" i="3" l="1"/>
  <c r="K294" i="3"/>
  <c r="L294" i="3" s="1"/>
  <c r="J296" i="3" l="1"/>
  <c r="K295" i="3"/>
  <c r="L295" i="3" s="1"/>
  <c r="J297" i="3" l="1"/>
  <c r="K296" i="3"/>
  <c r="L296" i="3" s="1"/>
  <c r="J298" i="3" l="1"/>
  <c r="K297" i="3"/>
  <c r="L297" i="3" s="1"/>
  <c r="J299" i="3" l="1"/>
  <c r="K298" i="3"/>
  <c r="L298" i="3" s="1"/>
  <c r="J300" i="3" l="1"/>
  <c r="K299" i="3"/>
  <c r="L299" i="3" s="1"/>
  <c r="J301" i="3" l="1"/>
  <c r="K300" i="3"/>
  <c r="L300" i="3" s="1"/>
  <c r="J302" i="3" l="1"/>
  <c r="K302" i="3" s="1"/>
  <c r="K301" i="3"/>
  <c r="L301" i="3" s="1"/>
  <c r="L302" i="3" l="1"/>
  <c r="L5" i="3" s="1"/>
  <c r="L7" i="3" s="1"/>
</calcChain>
</file>

<file path=xl/sharedStrings.xml><?xml version="1.0" encoding="utf-8"?>
<sst xmlns="http://schemas.openxmlformats.org/spreadsheetml/2006/main" count="55" uniqueCount="41">
  <si>
    <t>上漲</t>
    <phoneticPr fontId="3" type="noConversion"/>
  </si>
  <si>
    <t>買賣</t>
    <phoneticPr fontId="3" type="noConversion"/>
  </si>
  <si>
    <t>N</t>
    <phoneticPr fontId="3" type="noConversion"/>
  </si>
  <si>
    <t>下限</t>
    <phoneticPr fontId="3" type="noConversion"/>
  </si>
  <si>
    <t>上限</t>
    <phoneticPr fontId="3" type="noConversion"/>
  </si>
  <si>
    <t>日　期</t>
  </si>
  <si>
    <t>開盤價</t>
  </si>
  <si>
    <t>最高價</t>
  </si>
  <si>
    <t>最低價</t>
  </si>
  <si>
    <t>收盤價</t>
  </si>
  <si>
    <t>成交量</t>
  </si>
  <si>
    <t>心理線指標分析</t>
    <phoneticPr fontId="1" type="noConversion"/>
  </si>
  <si>
    <t>B&amp;H報酬</t>
    <phoneticPr fontId="3" type="noConversion"/>
  </si>
  <si>
    <t>買賣</t>
    <phoneticPr fontId="1" type="noConversion"/>
  </si>
  <si>
    <t>心理線值</t>
    <phoneticPr fontId="3" type="noConversion"/>
  </si>
  <si>
    <t>綜合判斷</t>
  </si>
  <si>
    <t>均線指標分析</t>
    <phoneticPr fontId="1" type="noConversion"/>
  </si>
  <si>
    <t>短均線值</t>
    <phoneticPr fontId="1" type="noConversion"/>
  </si>
  <si>
    <t>長均限值</t>
    <phoneticPr fontId="1" type="noConversion"/>
  </si>
  <si>
    <t>台股期貨日交易資料(連續)</t>
    <phoneticPr fontId="1" type="noConversion"/>
  </si>
  <si>
    <t>短均線</t>
    <phoneticPr fontId="3" type="noConversion"/>
  </si>
  <si>
    <t>長均線</t>
    <phoneticPr fontId="3" type="noConversion"/>
  </si>
  <si>
    <t>K損益</t>
    <phoneticPr fontId="3" type="noConversion"/>
  </si>
  <si>
    <t>部位</t>
    <phoneticPr fontId="1" type="noConversion"/>
  </si>
  <si>
    <t>部位下限</t>
    <phoneticPr fontId="1" type="noConversion"/>
  </si>
  <si>
    <t>累積損益</t>
    <phoneticPr fontId="3" type="noConversion"/>
  </si>
  <si>
    <t>損益計算</t>
    <phoneticPr fontId="1" type="noConversion"/>
  </si>
  <si>
    <t>報酬點數</t>
    <phoneticPr fontId="3" type="noConversion"/>
  </si>
  <si>
    <t>相對報酬</t>
    <phoneticPr fontId="3" type="noConversion"/>
  </si>
  <si>
    <t>部位上限</t>
    <phoneticPr fontId="1" type="noConversion"/>
  </si>
  <si>
    <t>投資績效</t>
    <phoneticPr fontId="1" type="noConversion"/>
  </si>
  <si>
    <t>參數 1</t>
    <phoneticPr fontId="1" type="noConversion"/>
  </si>
  <si>
    <t>參數 2</t>
    <phoneticPr fontId="1" type="noConversion"/>
  </si>
  <si>
    <t>最佳績效</t>
    <phoneticPr fontId="1" type="noConversion"/>
  </si>
  <si>
    <t>最佳參數 1</t>
    <phoneticPr fontId="1" type="noConversion"/>
  </si>
  <si>
    <t>最佳參數 2</t>
  </si>
  <si>
    <t>心理線指標參數</t>
    <phoneticPr fontId="1" type="noConversion"/>
  </si>
  <si>
    <t>均線指標</t>
    <phoneticPr fontId="1" type="noConversion"/>
  </si>
  <si>
    <t>隔夜價差</t>
    <phoneticPr fontId="1" type="noConversion"/>
  </si>
  <si>
    <t>當日價差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</si>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</sst>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&quot;$&quot;#,##0.00"/>
    <numFmt numFmtId="177" formatCode="#,##0_ "/>
    <numFmt numFmtId="178" formatCode="0.0000_ "/>
    <numFmt numFmtId="179" formatCode="0.000_ "/>
    <numFmt numFmtId="180" formatCode="0.00_ "/>
    <numFmt numFmtId="181" formatCode="0_);[Red]\(0\)"/>
  </numFmts>
  <fonts count="7"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theme="0"/>
      <name val="新細明體"/>
      <family val="1"/>
      <charset val="136"/>
    </font>
    <font>
      <sz val="12"/>
      <color theme="4" tint="-0.249977111117893"/>
      <name val="新細明體"/>
      <family val="1"/>
      <charset val="136"/>
    </font>
    <font>
      <b/>
      <sz val="1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13" xfId="0" applyBorder="1"/>
    <xf numFmtId="0" fontId="0" fillId="0" borderId="14" xfId="0" applyBorder="1"/>
    <xf numFmtId="0" fontId="0" fillId="3" borderId="15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0" xfId="0" applyFill="1" applyBorder="1"/>
    <xf numFmtId="0" fontId="4" fillId="5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4" borderId="22" xfId="0" applyFill="1" applyBorder="1"/>
    <xf numFmtId="0" fontId="0" fillId="0" borderId="14" xfId="0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80" fontId="0" fillId="0" borderId="21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4" fillId="5" borderId="28" xfId="0" applyFont="1" applyFill="1" applyBorder="1" applyAlignment="1">
      <alignment horizontal="center"/>
    </xf>
    <xf numFmtId="0" fontId="0" fillId="0" borderId="30" xfId="0" applyBorder="1"/>
    <xf numFmtId="0" fontId="0" fillId="0" borderId="3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181" fontId="0" fillId="3" borderId="4" xfId="0" applyNumberFormat="1" applyFill="1" applyBorder="1"/>
    <xf numFmtId="179" fontId="0" fillId="6" borderId="6" xfId="0" applyNumberFormat="1" applyFill="1" applyBorder="1" applyAlignment="1">
      <alignment horizontal="center"/>
    </xf>
    <xf numFmtId="180" fontId="0" fillId="6" borderId="6" xfId="0" applyNumberFormat="1" applyFill="1" applyBorder="1" applyAlignment="1">
      <alignment horizontal="center"/>
    </xf>
    <xf numFmtId="179" fontId="0" fillId="6" borderId="1" xfId="0" applyNumberFormat="1" applyFill="1" applyBorder="1" applyAlignment="1">
      <alignment horizontal="center"/>
    </xf>
    <xf numFmtId="180" fontId="0" fillId="6" borderId="1" xfId="0" applyNumberFormat="1" applyFill="1" applyBorder="1" applyAlignment="1">
      <alignment horizontal="center"/>
    </xf>
    <xf numFmtId="176" fontId="0" fillId="6" borderId="3" xfId="0" applyNumberFormat="1" applyFill="1" applyBorder="1"/>
    <xf numFmtId="0" fontId="0" fillId="7" borderId="5" xfId="0" applyFill="1" applyBorder="1" applyAlignment="1">
      <alignment vertical="center"/>
    </xf>
    <xf numFmtId="177" fontId="0" fillId="7" borderId="6" xfId="0" applyNumberFormat="1" applyFill="1" applyBorder="1" applyAlignment="1">
      <alignment vertical="center"/>
    </xf>
    <xf numFmtId="177" fontId="0" fillId="7" borderId="7" xfId="0" applyNumberForma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77" fontId="0" fillId="7" borderId="3" xfId="0" applyNumberFormat="1" applyFill="1" applyBorder="1" applyAlignment="1">
      <alignment vertical="center"/>
    </xf>
    <xf numFmtId="0" fontId="0" fillId="7" borderId="40" xfId="0" applyFill="1" applyBorder="1" applyAlignment="1">
      <alignment vertical="center"/>
    </xf>
    <xf numFmtId="177" fontId="0" fillId="7" borderId="41" xfId="0" applyNumberFormat="1" applyFill="1" applyBorder="1" applyAlignment="1">
      <alignment vertical="center"/>
    </xf>
    <xf numFmtId="177" fontId="0" fillId="7" borderId="44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177" fontId="0" fillId="7" borderId="2" xfId="0" applyNumberFormat="1" applyFill="1" applyBorder="1" applyAlignment="1">
      <alignment vertical="center"/>
    </xf>
    <xf numFmtId="177" fontId="0" fillId="7" borderId="4" xfId="0" applyNumberFormat="1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177" fontId="0" fillId="6" borderId="45" xfId="0" applyNumberFormat="1" applyFill="1" applyBorder="1" applyAlignment="1">
      <alignment vertical="center"/>
    </xf>
    <xf numFmtId="177" fontId="0" fillId="6" borderId="16" xfId="0" applyNumberFormat="1" applyFill="1" applyBorder="1" applyAlignment="1">
      <alignment vertical="center"/>
    </xf>
    <xf numFmtId="177" fontId="0" fillId="6" borderId="32" xfId="0" applyNumberFormat="1" applyFill="1" applyBorder="1" applyAlignment="1">
      <alignment vertical="center"/>
    </xf>
    <xf numFmtId="177" fontId="0" fillId="6" borderId="31" xfId="0" applyNumberFormat="1" applyFill="1" applyBorder="1" applyAlignment="1">
      <alignment vertic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80" fontId="0" fillId="6" borderId="5" xfId="0" applyNumberFormat="1" applyFill="1" applyBorder="1" applyAlignment="1">
      <alignment horizontal="center"/>
    </xf>
    <xf numFmtId="180" fontId="0" fillId="6" borderId="8" xfId="0" applyNumberForma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178" fontId="0" fillId="6" borderId="43" xfId="0" applyNumberFormat="1" applyFill="1" applyBorder="1"/>
    <xf numFmtId="178" fontId="0" fillId="0" borderId="11" xfId="0" applyNumberFormat="1" applyBorder="1"/>
    <xf numFmtId="0" fontId="4" fillId="5" borderId="13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8" borderId="47" xfId="0" applyFill="1" applyBorder="1"/>
    <xf numFmtId="0" fontId="0" fillId="8" borderId="48" xfId="0" applyFill="1" applyBorder="1"/>
    <xf numFmtId="0" fontId="0" fillId="8" borderId="49" xfId="0" applyFill="1" applyBorder="1"/>
    <xf numFmtId="0" fontId="0" fillId="4" borderId="29" xfId="0" applyFill="1" applyBorder="1"/>
    <xf numFmtId="0" fontId="0" fillId="4" borderId="50" xfId="0" applyFill="1" applyBorder="1"/>
    <xf numFmtId="0" fontId="4" fillId="5" borderId="51" xfId="0" applyFont="1" applyFill="1" applyBorder="1" applyAlignment="1">
      <alignment horizontal="center"/>
    </xf>
    <xf numFmtId="181" fontId="2" fillId="3" borderId="46" xfId="0" applyNumberFormat="1" applyFont="1" applyFill="1" applyBorder="1"/>
    <xf numFmtId="181" fontId="6" fillId="3" borderId="17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" borderId="37" xfId="0" applyFill="1" applyBorder="1"/>
    <xf numFmtId="0" fontId="0" fillId="4" borderId="38" xfId="0" applyFill="1" applyBorder="1"/>
    <xf numFmtId="0" fontId="5" fillId="0" borderId="39" xfId="0" applyFont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0" fillId="2" borderId="31" xfId="0" applyFill="1" applyBorder="1"/>
    <xf numFmtId="0" fontId="0" fillId="2" borderId="16" xfId="0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176" fontId="0" fillId="0" borderId="19" xfId="0" applyNumberFormat="1" applyBorder="1"/>
    <xf numFmtId="176" fontId="0" fillId="6" borderId="46" xfId="0" applyNumberFormat="1" applyFill="1" applyBorder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9" borderId="0" xfId="0" applyFill="1"/>
    <xf numFmtId="0" fontId="0" fillId="0" borderId="3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'Ex1'!$K$2</c:f>
              <c:strCache>
                <c:ptCount val="1"/>
                <c:pt idx="0">
                  <c:v>K損益</c:v>
                </c:pt>
              </c:strCache>
            </c:strRef>
          </c:tx>
          <c:invertIfNegative val="0"/>
          <c:val>
            <c:numRef>
              <c:f>'Ex1'!$K$53:$K$302</c:f>
              <c:numCache>
                <c:formatCode>0.0000_ 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-84</c:v>
                </c:pt>
                <c:pt idx="8">
                  <c:v>20</c:v>
                </c:pt>
                <c:pt idx="9">
                  <c:v>-156</c:v>
                </c:pt>
                <c:pt idx="10">
                  <c:v>239</c:v>
                </c:pt>
                <c:pt idx="11">
                  <c:v>-15</c:v>
                </c:pt>
                <c:pt idx="12">
                  <c:v>0</c:v>
                </c:pt>
                <c:pt idx="13">
                  <c:v>21</c:v>
                </c:pt>
                <c:pt idx="14">
                  <c:v>-19</c:v>
                </c:pt>
                <c:pt idx="15">
                  <c:v>29</c:v>
                </c:pt>
                <c:pt idx="16">
                  <c:v>64</c:v>
                </c:pt>
                <c:pt idx="17">
                  <c:v>-1</c:v>
                </c:pt>
                <c:pt idx="18">
                  <c:v>200</c:v>
                </c:pt>
                <c:pt idx="19">
                  <c:v>44</c:v>
                </c:pt>
                <c:pt idx="20">
                  <c:v>-43</c:v>
                </c:pt>
                <c:pt idx="21">
                  <c:v>101</c:v>
                </c:pt>
                <c:pt idx="22">
                  <c:v>13</c:v>
                </c:pt>
                <c:pt idx="23">
                  <c:v>-123</c:v>
                </c:pt>
                <c:pt idx="24">
                  <c:v>42</c:v>
                </c:pt>
                <c:pt idx="25">
                  <c:v>-136</c:v>
                </c:pt>
                <c:pt idx="26">
                  <c:v>41</c:v>
                </c:pt>
                <c:pt idx="27">
                  <c:v>-13</c:v>
                </c:pt>
                <c:pt idx="28">
                  <c:v>298</c:v>
                </c:pt>
                <c:pt idx="29">
                  <c:v>58</c:v>
                </c:pt>
                <c:pt idx="30">
                  <c:v>110</c:v>
                </c:pt>
                <c:pt idx="31">
                  <c:v>191</c:v>
                </c:pt>
                <c:pt idx="32">
                  <c:v>153</c:v>
                </c:pt>
                <c:pt idx="33">
                  <c:v>-433</c:v>
                </c:pt>
                <c:pt idx="34">
                  <c:v>211</c:v>
                </c:pt>
                <c:pt idx="35">
                  <c:v>13</c:v>
                </c:pt>
                <c:pt idx="36">
                  <c:v>16</c:v>
                </c:pt>
                <c:pt idx="37">
                  <c:v>-66</c:v>
                </c:pt>
                <c:pt idx="38">
                  <c:v>-321</c:v>
                </c:pt>
                <c:pt idx="39">
                  <c:v>-282</c:v>
                </c:pt>
                <c:pt idx="40">
                  <c:v>60</c:v>
                </c:pt>
                <c:pt idx="41">
                  <c:v>-223</c:v>
                </c:pt>
                <c:pt idx="42">
                  <c:v>386</c:v>
                </c:pt>
                <c:pt idx="43">
                  <c:v>181</c:v>
                </c:pt>
                <c:pt idx="44">
                  <c:v>46</c:v>
                </c:pt>
                <c:pt idx="45">
                  <c:v>20</c:v>
                </c:pt>
                <c:pt idx="46">
                  <c:v>-155</c:v>
                </c:pt>
                <c:pt idx="47">
                  <c:v>184</c:v>
                </c:pt>
                <c:pt idx="48">
                  <c:v>317</c:v>
                </c:pt>
                <c:pt idx="49">
                  <c:v>-127</c:v>
                </c:pt>
                <c:pt idx="50">
                  <c:v>58</c:v>
                </c:pt>
                <c:pt idx="51">
                  <c:v>-27</c:v>
                </c:pt>
                <c:pt idx="52">
                  <c:v>258</c:v>
                </c:pt>
                <c:pt idx="53">
                  <c:v>-58</c:v>
                </c:pt>
                <c:pt idx="54">
                  <c:v>333</c:v>
                </c:pt>
                <c:pt idx="55">
                  <c:v>50</c:v>
                </c:pt>
                <c:pt idx="56">
                  <c:v>117</c:v>
                </c:pt>
                <c:pt idx="57">
                  <c:v>-342</c:v>
                </c:pt>
                <c:pt idx="58">
                  <c:v>127</c:v>
                </c:pt>
                <c:pt idx="59">
                  <c:v>182</c:v>
                </c:pt>
                <c:pt idx="60">
                  <c:v>174</c:v>
                </c:pt>
                <c:pt idx="61">
                  <c:v>-19</c:v>
                </c:pt>
                <c:pt idx="62">
                  <c:v>6</c:v>
                </c:pt>
                <c:pt idx="63">
                  <c:v>161</c:v>
                </c:pt>
                <c:pt idx="64">
                  <c:v>162</c:v>
                </c:pt>
                <c:pt idx="65">
                  <c:v>-58</c:v>
                </c:pt>
                <c:pt idx="66">
                  <c:v>-303</c:v>
                </c:pt>
                <c:pt idx="67">
                  <c:v>282</c:v>
                </c:pt>
                <c:pt idx="68">
                  <c:v>-28</c:v>
                </c:pt>
                <c:pt idx="69">
                  <c:v>306</c:v>
                </c:pt>
                <c:pt idx="70">
                  <c:v>250</c:v>
                </c:pt>
                <c:pt idx="71">
                  <c:v>148</c:v>
                </c:pt>
                <c:pt idx="72">
                  <c:v>-14</c:v>
                </c:pt>
                <c:pt idx="73">
                  <c:v>-78</c:v>
                </c:pt>
                <c:pt idx="74">
                  <c:v>-343</c:v>
                </c:pt>
                <c:pt idx="75">
                  <c:v>76</c:v>
                </c:pt>
                <c:pt idx="76">
                  <c:v>-1</c:v>
                </c:pt>
                <c:pt idx="77">
                  <c:v>-158</c:v>
                </c:pt>
                <c:pt idx="78">
                  <c:v>47</c:v>
                </c:pt>
                <c:pt idx="79">
                  <c:v>-236</c:v>
                </c:pt>
                <c:pt idx="80">
                  <c:v>95</c:v>
                </c:pt>
                <c:pt idx="81">
                  <c:v>-100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59</c:v>
                </c:pt>
                <c:pt idx="93">
                  <c:v>52</c:v>
                </c:pt>
                <c:pt idx="94">
                  <c:v>49</c:v>
                </c:pt>
                <c:pt idx="95">
                  <c:v>-40</c:v>
                </c:pt>
                <c:pt idx="96">
                  <c:v>-66</c:v>
                </c:pt>
                <c:pt idx="97">
                  <c:v>35</c:v>
                </c:pt>
                <c:pt idx="98">
                  <c:v>-231</c:v>
                </c:pt>
                <c:pt idx="99">
                  <c:v>25</c:v>
                </c:pt>
                <c:pt idx="100">
                  <c:v>241</c:v>
                </c:pt>
                <c:pt idx="101">
                  <c:v>-185</c:v>
                </c:pt>
                <c:pt idx="102">
                  <c:v>25</c:v>
                </c:pt>
                <c:pt idx="103">
                  <c:v>-38</c:v>
                </c:pt>
                <c:pt idx="104">
                  <c:v>-76</c:v>
                </c:pt>
                <c:pt idx="105">
                  <c:v>19</c:v>
                </c:pt>
                <c:pt idx="106">
                  <c:v>151</c:v>
                </c:pt>
                <c:pt idx="107">
                  <c:v>180</c:v>
                </c:pt>
                <c:pt idx="108">
                  <c:v>-30</c:v>
                </c:pt>
                <c:pt idx="109">
                  <c:v>-26</c:v>
                </c:pt>
                <c:pt idx="110">
                  <c:v>27</c:v>
                </c:pt>
                <c:pt idx="111">
                  <c:v>-8</c:v>
                </c:pt>
                <c:pt idx="112">
                  <c:v>-179</c:v>
                </c:pt>
                <c:pt idx="113">
                  <c:v>25</c:v>
                </c:pt>
                <c:pt idx="114">
                  <c:v>-130</c:v>
                </c:pt>
                <c:pt idx="115">
                  <c:v>-36</c:v>
                </c:pt>
                <c:pt idx="116">
                  <c:v>-46</c:v>
                </c:pt>
                <c:pt idx="117">
                  <c:v>300</c:v>
                </c:pt>
                <c:pt idx="118">
                  <c:v>5</c:v>
                </c:pt>
                <c:pt idx="119">
                  <c:v>-12</c:v>
                </c:pt>
                <c:pt idx="120">
                  <c:v>-55</c:v>
                </c:pt>
                <c:pt idx="121">
                  <c:v>-89</c:v>
                </c:pt>
                <c:pt idx="122">
                  <c:v>8</c:v>
                </c:pt>
                <c:pt idx="123">
                  <c:v>271</c:v>
                </c:pt>
                <c:pt idx="124">
                  <c:v>-84</c:v>
                </c:pt>
                <c:pt idx="125">
                  <c:v>-26</c:v>
                </c:pt>
                <c:pt idx="126">
                  <c:v>-8</c:v>
                </c:pt>
                <c:pt idx="127">
                  <c:v>117</c:v>
                </c:pt>
                <c:pt idx="128">
                  <c:v>108</c:v>
                </c:pt>
                <c:pt idx="129">
                  <c:v>-29</c:v>
                </c:pt>
                <c:pt idx="130">
                  <c:v>-114</c:v>
                </c:pt>
                <c:pt idx="131">
                  <c:v>-76</c:v>
                </c:pt>
                <c:pt idx="132">
                  <c:v>81</c:v>
                </c:pt>
                <c:pt idx="133">
                  <c:v>-173</c:v>
                </c:pt>
                <c:pt idx="134">
                  <c:v>-13</c:v>
                </c:pt>
                <c:pt idx="135">
                  <c:v>-41</c:v>
                </c:pt>
                <c:pt idx="136">
                  <c:v>-61</c:v>
                </c:pt>
                <c:pt idx="137">
                  <c:v>38</c:v>
                </c:pt>
                <c:pt idx="138">
                  <c:v>-112</c:v>
                </c:pt>
                <c:pt idx="139">
                  <c:v>-4</c:v>
                </c:pt>
                <c:pt idx="140">
                  <c:v>81</c:v>
                </c:pt>
                <c:pt idx="141">
                  <c:v>68</c:v>
                </c:pt>
                <c:pt idx="142">
                  <c:v>-42</c:v>
                </c:pt>
                <c:pt idx="143">
                  <c:v>105</c:v>
                </c:pt>
                <c:pt idx="144">
                  <c:v>-63</c:v>
                </c:pt>
                <c:pt idx="145">
                  <c:v>45</c:v>
                </c:pt>
                <c:pt idx="146">
                  <c:v>-85</c:v>
                </c:pt>
                <c:pt idx="147">
                  <c:v>-11</c:v>
                </c:pt>
                <c:pt idx="148">
                  <c:v>-33</c:v>
                </c:pt>
                <c:pt idx="149">
                  <c:v>179</c:v>
                </c:pt>
                <c:pt idx="150">
                  <c:v>-36</c:v>
                </c:pt>
                <c:pt idx="151">
                  <c:v>-144</c:v>
                </c:pt>
                <c:pt idx="152">
                  <c:v>-84</c:v>
                </c:pt>
                <c:pt idx="153">
                  <c:v>-33</c:v>
                </c:pt>
                <c:pt idx="154">
                  <c:v>-44</c:v>
                </c:pt>
                <c:pt idx="155">
                  <c:v>-55</c:v>
                </c:pt>
                <c:pt idx="156">
                  <c:v>-102</c:v>
                </c:pt>
                <c:pt idx="157">
                  <c:v>10</c:v>
                </c:pt>
                <c:pt idx="158">
                  <c:v>-152</c:v>
                </c:pt>
                <c:pt idx="159">
                  <c:v>-62</c:v>
                </c:pt>
                <c:pt idx="160">
                  <c:v>-95</c:v>
                </c:pt>
                <c:pt idx="161">
                  <c:v>30</c:v>
                </c:pt>
                <c:pt idx="162">
                  <c:v>47</c:v>
                </c:pt>
                <c:pt idx="163">
                  <c:v>30</c:v>
                </c:pt>
                <c:pt idx="164">
                  <c:v>-181</c:v>
                </c:pt>
                <c:pt idx="165">
                  <c:v>-131</c:v>
                </c:pt>
                <c:pt idx="166">
                  <c:v>-98</c:v>
                </c:pt>
                <c:pt idx="167">
                  <c:v>-25</c:v>
                </c:pt>
                <c:pt idx="168">
                  <c:v>32</c:v>
                </c:pt>
                <c:pt idx="169">
                  <c:v>178</c:v>
                </c:pt>
                <c:pt idx="170">
                  <c:v>-26</c:v>
                </c:pt>
                <c:pt idx="171">
                  <c:v>-113</c:v>
                </c:pt>
                <c:pt idx="172">
                  <c:v>-197</c:v>
                </c:pt>
                <c:pt idx="173">
                  <c:v>2</c:v>
                </c:pt>
                <c:pt idx="174">
                  <c:v>-16</c:v>
                </c:pt>
                <c:pt idx="175">
                  <c:v>-58</c:v>
                </c:pt>
                <c:pt idx="176">
                  <c:v>127</c:v>
                </c:pt>
                <c:pt idx="177">
                  <c:v>-256</c:v>
                </c:pt>
                <c:pt idx="178">
                  <c:v>-115</c:v>
                </c:pt>
                <c:pt idx="179">
                  <c:v>-19</c:v>
                </c:pt>
                <c:pt idx="180">
                  <c:v>-12</c:v>
                </c:pt>
                <c:pt idx="181">
                  <c:v>-1</c:v>
                </c:pt>
                <c:pt idx="182">
                  <c:v>-135</c:v>
                </c:pt>
                <c:pt idx="183">
                  <c:v>219</c:v>
                </c:pt>
                <c:pt idx="184">
                  <c:v>10</c:v>
                </c:pt>
                <c:pt idx="185">
                  <c:v>-131</c:v>
                </c:pt>
                <c:pt idx="186">
                  <c:v>49</c:v>
                </c:pt>
                <c:pt idx="187">
                  <c:v>-54</c:v>
                </c:pt>
                <c:pt idx="188">
                  <c:v>-3</c:v>
                </c:pt>
                <c:pt idx="189">
                  <c:v>194</c:v>
                </c:pt>
                <c:pt idx="190">
                  <c:v>130</c:v>
                </c:pt>
                <c:pt idx="191">
                  <c:v>-43</c:v>
                </c:pt>
                <c:pt idx="192">
                  <c:v>-392</c:v>
                </c:pt>
                <c:pt idx="193">
                  <c:v>-421</c:v>
                </c:pt>
                <c:pt idx="194">
                  <c:v>-106</c:v>
                </c:pt>
                <c:pt idx="195">
                  <c:v>6</c:v>
                </c:pt>
                <c:pt idx="196">
                  <c:v>-77</c:v>
                </c:pt>
                <c:pt idx="197">
                  <c:v>41</c:v>
                </c:pt>
                <c:pt idx="198">
                  <c:v>-25</c:v>
                </c:pt>
                <c:pt idx="199">
                  <c:v>150</c:v>
                </c:pt>
                <c:pt idx="200">
                  <c:v>-22</c:v>
                </c:pt>
                <c:pt idx="201">
                  <c:v>148</c:v>
                </c:pt>
                <c:pt idx="202">
                  <c:v>-155</c:v>
                </c:pt>
                <c:pt idx="203">
                  <c:v>-85</c:v>
                </c:pt>
                <c:pt idx="204">
                  <c:v>-132</c:v>
                </c:pt>
                <c:pt idx="205">
                  <c:v>25</c:v>
                </c:pt>
                <c:pt idx="206">
                  <c:v>-3</c:v>
                </c:pt>
                <c:pt idx="207">
                  <c:v>-21</c:v>
                </c:pt>
                <c:pt idx="208">
                  <c:v>-32</c:v>
                </c:pt>
                <c:pt idx="209">
                  <c:v>78</c:v>
                </c:pt>
                <c:pt idx="210">
                  <c:v>-286</c:v>
                </c:pt>
                <c:pt idx="211">
                  <c:v>-22</c:v>
                </c:pt>
                <c:pt idx="212">
                  <c:v>38</c:v>
                </c:pt>
                <c:pt idx="213">
                  <c:v>18</c:v>
                </c:pt>
                <c:pt idx="214">
                  <c:v>114</c:v>
                </c:pt>
                <c:pt idx="215">
                  <c:v>-6</c:v>
                </c:pt>
                <c:pt idx="216">
                  <c:v>-43</c:v>
                </c:pt>
                <c:pt idx="217">
                  <c:v>190</c:v>
                </c:pt>
                <c:pt idx="218">
                  <c:v>230</c:v>
                </c:pt>
                <c:pt idx="219">
                  <c:v>-46</c:v>
                </c:pt>
                <c:pt idx="220">
                  <c:v>-57</c:v>
                </c:pt>
                <c:pt idx="221">
                  <c:v>79</c:v>
                </c:pt>
                <c:pt idx="222">
                  <c:v>229</c:v>
                </c:pt>
                <c:pt idx="223">
                  <c:v>0</c:v>
                </c:pt>
                <c:pt idx="224">
                  <c:v>66</c:v>
                </c:pt>
                <c:pt idx="225">
                  <c:v>52</c:v>
                </c:pt>
                <c:pt idx="226">
                  <c:v>-48</c:v>
                </c:pt>
                <c:pt idx="227">
                  <c:v>-68</c:v>
                </c:pt>
                <c:pt idx="228">
                  <c:v>134</c:v>
                </c:pt>
                <c:pt idx="229">
                  <c:v>-239</c:v>
                </c:pt>
                <c:pt idx="230">
                  <c:v>-78</c:v>
                </c:pt>
                <c:pt idx="231">
                  <c:v>-2</c:v>
                </c:pt>
                <c:pt idx="232">
                  <c:v>46</c:v>
                </c:pt>
                <c:pt idx="233">
                  <c:v>-38</c:v>
                </c:pt>
                <c:pt idx="234">
                  <c:v>-134</c:v>
                </c:pt>
                <c:pt idx="235">
                  <c:v>-73</c:v>
                </c:pt>
                <c:pt idx="236">
                  <c:v>43</c:v>
                </c:pt>
                <c:pt idx="237">
                  <c:v>31</c:v>
                </c:pt>
                <c:pt idx="238">
                  <c:v>-77</c:v>
                </c:pt>
                <c:pt idx="239">
                  <c:v>38</c:v>
                </c:pt>
                <c:pt idx="240">
                  <c:v>-97</c:v>
                </c:pt>
                <c:pt idx="241">
                  <c:v>-31</c:v>
                </c:pt>
                <c:pt idx="242">
                  <c:v>286</c:v>
                </c:pt>
                <c:pt idx="243">
                  <c:v>-111</c:v>
                </c:pt>
                <c:pt idx="244">
                  <c:v>-183</c:v>
                </c:pt>
                <c:pt idx="245">
                  <c:v>54</c:v>
                </c:pt>
                <c:pt idx="246">
                  <c:v>-47</c:v>
                </c:pt>
                <c:pt idx="247">
                  <c:v>-103</c:v>
                </c:pt>
                <c:pt idx="248">
                  <c:v>-15</c:v>
                </c:pt>
                <c:pt idx="249">
                  <c:v>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7288448"/>
        <c:axId val="316915712"/>
      </c:barChart>
      <c:lineChart>
        <c:grouping val="stacked"/>
        <c:varyColors val="0"/>
        <c:ser>
          <c:idx val="1"/>
          <c:order val="1"/>
          <c:tx>
            <c:strRef>
              <c:f>'Ex1'!$L$2</c:f>
              <c:strCache>
                <c:ptCount val="1"/>
                <c:pt idx="0">
                  <c:v>累積損益</c:v>
                </c:pt>
              </c:strCache>
            </c:strRef>
          </c:tx>
          <c:marker>
            <c:symbol val="none"/>
          </c:marker>
          <c:val>
            <c:numRef>
              <c:f>'Ex1'!$L$53:$L$302</c:f>
              <c:numCache>
                <c:formatCode>"$"#,##0.00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-184</c:v>
                </c:pt>
                <c:pt idx="8">
                  <c:v>-164</c:v>
                </c:pt>
                <c:pt idx="9">
                  <c:v>-320</c:v>
                </c:pt>
                <c:pt idx="10">
                  <c:v>-81</c:v>
                </c:pt>
                <c:pt idx="11">
                  <c:v>-96</c:v>
                </c:pt>
                <c:pt idx="12">
                  <c:v>-96</c:v>
                </c:pt>
                <c:pt idx="13">
                  <c:v>-75</c:v>
                </c:pt>
                <c:pt idx="14">
                  <c:v>-94</c:v>
                </c:pt>
                <c:pt idx="15">
                  <c:v>-65</c:v>
                </c:pt>
                <c:pt idx="16">
                  <c:v>-1</c:v>
                </c:pt>
                <c:pt idx="17">
                  <c:v>-2</c:v>
                </c:pt>
                <c:pt idx="18">
                  <c:v>198</c:v>
                </c:pt>
                <c:pt idx="19">
                  <c:v>242</c:v>
                </c:pt>
                <c:pt idx="20">
                  <c:v>199</c:v>
                </c:pt>
                <c:pt idx="21">
                  <c:v>300</c:v>
                </c:pt>
                <c:pt idx="22">
                  <c:v>313</c:v>
                </c:pt>
                <c:pt idx="23">
                  <c:v>190</c:v>
                </c:pt>
                <c:pt idx="24">
                  <c:v>232</c:v>
                </c:pt>
                <c:pt idx="25">
                  <c:v>96</c:v>
                </c:pt>
                <c:pt idx="26">
                  <c:v>137</c:v>
                </c:pt>
                <c:pt idx="27">
                  <c:v>124</c:v>
                </c:pt>
                <c:pt idx="28">
                  <c:v>422</c:v>
                </c:pt>
                <c:pt idx="29">
                  <c:v>480</c:v>
                </c:pt>
                <c:pt idx="30">
                  <c:v>590</c:v>
                </c:pt>
                <c:pt idx="31">
                  <c:v>781</c:v>
                </c:pt>
                <c:pt idx="32">
                  <c:v>934</c:v>
                </c:pt>
                <c:pt idx="33">
                  <c:v>501</c:v>
                </c:pt>
                <c:pt idx="34">
                  <c:v>712</c:v>
                </c:pt>
                <c:pt idx="35">
                  <c:v>725</c:v>
                </c:pt>
                <c:pt idx="36">
                  <c:v>741</c:v>
                </c:pt>
                <c:pt idx="37">
                  <c:v>675</c:v>
                </c:pt>
                <c:pt idx="38">
                  <c:v>354</c:v>
                </c:pt>
                <c:pt idx="39">
                  <c:v>72</c:v>
                </c:pt>
                <c:pt idx="40">
                  <c:v>132</c:v>
                </c:pt>
                <c:pt idx="41">
                  <c:v>-91</c:v>
                </c:pt>
                <c:pt idx="42">
                  <c:v>295</c:v>
                </c:pt>
                <c:pt idx="43">
                  <c:v>476</c:v>
                </c:pt>
                <c:pt idx="44">
                  <c:v>522</c:v>
                </c:pt>
                <c:pt idx="45">
                  <c:v>542</c:v>
                </c:pt>
                <c:pt idx="46">
                  <c:v>387</c:v>
                </c:pt>
                <c:pt idx="47">
                  <c:v>571</c:v>
                </c:pt>
                <c:pt idx="48">
                  <c:v>888</c:v>
                </c:pt>
                <c:pt idx="49">
                  <c:v>761</c:v>
                </c:pt>
                <c:pt idx="50">
                  <c:v>819</c:v>
                </c:pt>
                <c:pt idx="51">
                  <c:v>792</c:v>
                </c:pt>
                <c:pt idx="52">
                  <c:v>1050</c:v>
                </c:pt>
                <c:pt idx="53">
                  <c:v>992</c:v>
                </c:pt>
                <c:pt idx="54">
                  <c:v>1325</c:v>
                </c:pt>
                <c:pt idx="55">
                  <c:v>1375</c:v>
                </c:pt>
                <c:pt idx="56">
                  <c:v>1492</c:v>
                </c:pt>
                <c:pt idx="57">
                  <c:v>1150</c:v>
                </c:pt>
                <c:pt idx="58">
                  <c:v>1277</c:v>
                </c:pt>
                <c:pt idx="59">
                  <c:v>1459</c:v>
                </c:pt>
                <c:pt idx="60">
                  <c:v>1633</c:v>
                </c:pt>
                <c:pt idx="61">
                  <c:v>1614</c:v>
                </c:pt>
                <c:pt idx="62">
                  <c:v>1620</c:v>
                </c:pt>
                <c:pt idx="63">
                  <c:v>1781</c:v>
                </c:pt>
                <c:pt idx="64">
                  <c:v>1943</c:v>
                </c:pt>
                <c:pt idx="65">
                  <c:v>1885</c:v>
                </c:pt>
                <c:pt idx="66">
                  <c:v>1582</c:v>
                </c:pt>
                <c:pt idx="67">
                  <c:v>1864</c:v>
                </c:pt>
                <c:pt idx="68">
                  <c:v>1836</c:v>
                </c:pt>
                <c:pt idx="69">
                  <c:v>2142</c:v>
                </c:pt>
                <c:pt idx="70">
                  <c:v>2392</c:v>
                </c:pt>
                <c:pt idx="71">
                  <c:v>2540</c:v>
                </c:pt>
                <c:pt idx="72">
                  <c:v>2526</c:v>
                </c:pt>
                <c:pt idx="73">
                  <c:v>2448</c:v>
                </c:pt>
                <c:pt idx="74">
                  <c:v>2105</c:v>
                </c:pt>
                <c:pt idx="75">
                  <c:v>2181</c:v>
                </c:pt>
                <c:pt idx="76">
                  <c:v>2180</c:v>
                </c:pt>
                <c:pt idx="77">
                  <c:v>2022</c:v>
                </c:pt>
                <c:pt idx="78">
                  <c:v>2069</c:v>
                </c:pt>
                <c:pt idx="79">
                  <c:v>1833</c:v>
                </c:pt>
                <c:pt idx="80">
                  <c:v>1928</c:v>
                </c:pt>
                <c:pt idx="81">
                  <c:v>1828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1887</c:v>
                </c:pt>
                <c:pt idx="93">
                  <c:v>1939</c:v>
                </c:pt>
                <c:pt idx="94">
                  <c:v>1988</c:v>
                </c:pt>
                <c:pt idx="95">
                  <c:v>1948</c:v>
                </c:pt>
                <c:pt idx="96">
                  <c:v>1882</c:v>
                </c:pt>
                <c:pt idx="97">
                  <c:v>1917</c:v>
                </c:pt>
                <c:pt idx="98">
                  <c:v>1686</c:v>
                </c:pt>
                <c:pt idx="99">
                  <c:v>1711</c:v>
                </c:pt>
                <c:pt idx="100">
                  <c:v>1952</c:v>
                </c:pt>
                <c:pt idx="101">
                  <c:v>1767</c:v>
                </c:pt>
                <c:pt idx="102">
                  <c:v>1792</c:v>
                </c:pt>
                <c:pt idx="103">
                  <c:v>1754</c:v>
                </c:pt>
                <c:pt idx="104">
                  <c:v>1678</c:v>
                </c:pt>
                <c:pt idx="105">
                  <c:v>1697</c:v>
                </c:pt>
                <c:pt idx="106">
                  <c:v>1848</c:v>
                </c:pt>
                <c:pt idx="107">
                  <c:v>2028</c:v>
                </c:pt>
                <c:pt idx="108">
                  <c:v>1998</c:v>
                </c:pt>
                <c:pt idx="109">
                  <c:v>1972</c:v>
                </c:pt>
                <c:pt idx="110">
                  <c:v>1999</c:v>
                </c:pt>
                <c:pt idx="111">
                  <c:v>1991</c:v>
                </c:pt>
                <c:pt idx="112">
                  <c:v>1812</c:v>
                </c:pt>
                <c:pt idx="113">
                  <c:v>1837</c:v>
                </c:pt>
                <c:pt idx="114">
                  <c:v>1707</c:v>
                </c:pt>
                <c:pt idx="115">
                  <c:v>1671</c:v>
                </c:pt>
                <c:pt idx="116">
                  <c:v>1625</c:v>
                </c:pt>
                <c:pt idx="117">
                  <c:v>1925</c:v>
                </c:pt>
                <c:pt idx="118">
                  <c:v>1930</c:v>
                </c:pt>
                <c:pt idx="119">
                  <c:v>1918</c:v>
                </c:pt>
                <c:pt idx="120">
                  <c:v>1863</c:v>
                </c:pt>
                <c:pt idx="121">
                  <c:v>1774</c:v>
                </c:pt>
                <c:pt idx="122">
                  <c:v>1782</c:v>
                </c:pt>
                <c:pt idx="123">
                  <c:v>2053</c:v>
                </c:pt>
                <c:pt idx="124">
                  <c:v>1969</c:v>
                </c:pt>
                <c:pt idx="125">
                  <c:v>1943</c:v>
                </c:pt>
                <c:pt idx="126">
                  <c:v>1935</c:v>
                </c:pt>
                <c:pt idx="127">
                  <c:v>2052</c:v>
                </c:pt>
                <c:pt idx="128">
                  <c:v>2160</c:v>
                </c:pt>
                <c:pt idx="129">
                  <c:v>2131</c:v>
                </c:pt>
                <c:pt idx="130">
                  <c:v>2017</c:v>
                </c:pt>
                <c:pt idx="131">
                  <c:v>1941</c:v>
                </c:pt>
                <c:pt idx="132">
                  <c:v>2022</c:v>
                </c:pt>
                <c:pt idx="133">
                  <c:v>1849</c:v>
                </c:pt>
                <c:pt idx="134">
                  <c:v>1836</c:v>
                </c:pt>
                <c:pt idx="135">
                  <c:v>1795</c:v>
                </c:pt>
                <c:pt idx="136">
                  <c:v>1734</c:v>
                </c:pt>
                <c:pt idx="137">
                  <c:v>1772</c:v>
                </c:pt>
                <c:pt idx="138">
                  <c:v>1660</c:v>
                </c:pt>
                <c:pt idx="139">
                  <c:v>1656</c:v>
                </c:pt>
                <c:pt idx="140">
                  <c:v>1737</c:v>
                </c:pt>
                <c:pt idx="141">
                  <c:v>1805</c:v>
                </c:pt>
                <c:pt idx="142">
                  <c:v>1763</c:v>
                </c:pt>
                <c:pt idx="143">
                  <c:v>1868</c:v>
                </c:pt>
                <c:pt idx="144">
                  <c:v>1805</c:v>
                </c:pt>
                <c:pt idx="145">
                  <c:v>1850</c:v>
                </c:pt>
                <c:pt idx="146">
                  <c:v>1765</c:v>
                </c:pt>
                <c:pt idx="147">
                  <c:v>1754</c:v>
                </c:pt>
                <c:pt idx="148">
                  <c:v>1721</c:v>
                </c:pt>
                <c:pt idx="149">
                  <c:v>1900</c:v>
                </c:pt>
                <c:pt idx="150">
                  <c:v>1864</c:v>
                </c:pt>
                <c:pt idx="151">
                  <c:v>1720</c:v>
                </c:pt>
                <c:pt idx="152">
                  <c:v>1636</c:v>
                </c:pt>
                <c:pt idx="153">
                  <c:v>1603</c:v>
                </c:pt>
                <c:pt idx="154">
                  <c:v>1559</c:v>
                </c:pt>
                <c:pt idx="155">
                  <c:v>1504</c:v>
                </c:pt>
                <c:pt idx="156">
                  <c:v>1402</c:v>
                </c:pt>
                <c:pt idx="157">
                  <c:v>1412</c:v>
                </c:pt>
                <c:pt idx="158">
                  <c:v>1260</c:v>
                </c:pt>
                <c:pt idx="159">
                  <c:v>1198</c:v>
                </c:pt>
                <c:pt idx="160">
                  <c:v>1103</c:v>
                </c:pt>
                <c:pt idx="161">
                  <c:v>1133</c:v>
                </c:pt>
                <c:pt idx="162">
                  <c:v>1180</c:v>
                </c:pt>
                <c:pt idx="163">
                  <c:v>1210</c:v>
                </c:pt>
                <c:pt idx="164">
                  <c:v>1029</c:v>
                </c:pt>
                <c:pt idx="165">
                  <c:v>898</c:v>
                </c:pt>
                <c:pt idx="166">
                  <c:v>800</c:v>
                </c:pt>
                <c:pt idx="167">
                  <c:v>775</c:v>
                </c:pt>
                <c:pt idx="168">
                  <c:v>807</c:v>
                </c:pt>
                <c:pt idx="169">
                  <c:v>985</c:v>
                </c:pt>
                <c:pt idx="170">
                  <c:v>959</c:v>
                </c:pt>
                <c:pt idx="171">
                  <c:v>846</c:v>
                </c:pt>
                <c:pt idx="172">
                  <c:v>649</c:v>
                </c:pt>
                <c:pt idx="173">
                  <c:v>651</c:v>
                </c:pt>
                <c:pt idx="174">
                  <c:v>635</c:v>
                </c:pt>
                <c:pt idx="175">
                  <c:v>577</c:v>
                </c:pt>
                <c:pt idx="176">
                  <c:v>704</c:v>
                </c:pt>
                <c:pt idx="177">
                  <c:v>448</c:v>
                </c:pt>
                <c:pt idx="178">
                  <c:v>333</c:v>
                </c:pt>
                <c:pt idx="179">
                  <c:v>314</c:v>
                </c:pt>
                <c:pt idx="180">
                  <c:v>302</c:v>
                </c:pt>
                <c:pt idx="181">
                  <c:v>301</c:v>
                </c:pt>
                <c:pt idx="182">
                  <c:v>166</c:v>
                </c:pt>
                <c:pt idx="183">
                  <c:v>385</c:v>
                </c:pt>
                <c:pt idx="184">
                  <c:v>395</c:v>
                </c:pt>
                <c:pt idx="185">
                  <c:v>264</c:v>
                </c:pt>
                <c:pt idx="186">
                  <c:v>313</c:v>
                </c:pt>
                <c:pt idx="187">
                  <c:v>259</c:v>
                </c:pt>
                <c:pt idx="188">
                  <c:v>256</c:v>
                </c:pt>
                <c:pt idx="189">
                  <c:v>450</c:v>
                </c:pt>
                <c:pt idx="190">
                  <c:v>580</c:v>
                </c:pt>
                <c:pt idx="191">
                  <c:v>537</c:v>
                </c:pt>
                <c:pt idx="192">
                  <c:v>145</c:v>
                </c:pt>
                <c:pt idx="193">
                  <c:v>-276</c:v>
                </c:pt>
                <c:pt idx="194">
                  <c:v>-382</c:v>
                </c:pt>
                <c:pt idx="195">
                  <c:v>-376</c:v>
                </c:pt>
                <c:pt idx="196">
                  <c:v>-453</c:v>
                </c:pt>
                <c:pt idx="197">
                  <c:v>-412</c:v>
                </c:pt>
                <c:pt idx="198">
                  <c:v>-437</c:v>
                </c:pt>
                <c:pt idx="199">
                  <c:v>-287</c:v>
                </c:pt>
                <c:pt idx="200">
                  <c:v>-309</c:v>
                </c:pt>
                <c:pt idx="201">
                  <c:v>-161</c:v>
                </c:pt>
                <c:pt idx="202">
                  <c:v>-316</c:v>
                </c:pt>
                <c:pt idx="203">
                  <c:v>-401</c:v>
                </c:pt>
                <c:pt idx="204">
                  <c:v>-533</c:v>
                </c:pt>
                <c:pt idx="205">
                  <c:v>-508</c:v>
                </c:pt>
                <c:pt idx="206">
                  <c:v>-511</c:v>
                </c:pt>
                <c:pt idx="207">
                  <c:v>-532</c:v>
                </c:pt>
                <c:pt idx="208">
                  <c:v>-564</c:v>
                </c:pt>
                <c:pt idx="209">
                  <c:v>-486</c:v>
                </c:pt>
                <c:pt idx="210">
                  <c:v>-772</c:v>
                </c:pt>
                <c:pt idx="211">
                  <c:v>-794</c:v>
                </c:pt>
                <c:pt idx="212">
                  <c:v>-756</c:v>
                </c:pt>
                <c:pt idx="213">
                  <c:v>-738</c:v>
                </c:pt>
                <c:pt idx="214">
                  <c:v>-624</c:v>
                </c:pt>
                <c:pt idx="215">
                  <c:v>-630</c:v>
                </c:pt>
                <c:pt idx="216">
                  <c:v>-673</c:v>
                </c:pt>
                <c:pt idx="217">
                  <c:v>-483</c:v>
                </c:pt>
                <c:pt idx="218">
                  <c:v>-253</c:v>
                </c:pt>
                <c:pt idx="219">
                  <c:v>-299</c:v>
                </c:pt>
                <c:pt idx="220">
                  <c:v>-356</c:v>
                </c:pt>
                <c:pt idx="221">
                  <c:v>-277</c:v>
                </c:pt>
                <c:pt idx="222">
                  <c:v>-48</c:v>
                </c:pt>
                <c:pt idx="223">
                  <c:v>-48</c:v>
                </c:pt>
                <c:pt idx="224">
                  <c:v>18</c:v>
                </c:pt>
                <c:pt idx="225">
                  <c:v>70</c:v>
                </c:pt>
                <c:pt idx="226">
                  <c:v>22</c:v>
                </c:pt>
                <c:pt idx="227">
                  <c:v>-46</c:v>
                </c:pt>
                <c:pt idx="228">
                  <c:v>88</c:v>
                </c:pt>
                <c:pt idx="229">
                  <c:v>-151</c:v>
                </c:pt>
                <c:pt idx="230">
                  <c:v>-229</c:v>
                </c:pt>
                <c:pt idx="231">
                  <c:v>-231</c:v>
                </c:pt>
                <c:pt idx="232">
                  <c:v>-185</c:v>
                </c:pt>
                <c:pt idx="233">
                  <c:v>-223</c:v>
                </c:pt>
                <c:pt idx="234">
                  <c:v>-357</c:v>
                </c:pt>
                <c:pt idx="235">
                  <c:v>-430</c:v>
                </c:pt>
                <c:pt idx="236">
                  <c:v>-387</c:v>
                </c:pt>
                <c:pt idx="237">
                  <c:v>-356</c:v>
                </c:pt>
                <c:pt idx="238">
                  <c:v>-433</c:v>
                </c:pt>
                <c:pt idx="239">
                  <c:v>-395</c:v>
                </c:pt>
                <c:pt idx="240">
                  <c:v>-492</c:v>
                </c:pt>
                <c:pt idx="241">
                  <c:v>-523</c:v>
                </c:pt>
                <c:pt idx="242">
                  <c:v>-237</c:v>
                </c:pt>
                <c:pt idx="243">
                  <c:v>-348</c:v>
                </c:pt>
                <c:pt idx="244">
                  <c:v>-531</c:v>
                </c:pt>
                <c:pt idx="245">
                  <c:v>-477</c:v>
                </c:pt>
                <c:pt idx="246">
                  <c:v>-524</c:v>
                </c:pt>
                <c:pt idx="247">
                  <c:v>-627</c:v>
                </c:pt>
                <c:pt idx="248">
                  <c:v>-642</c:v>
                </c:pt>
                <c:pt idx="249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35168"/>
        <c:axId val="263765312"/>
      </c:lineChart>
      <c:catAx>
        <c:axId val="31693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63765312"/>
        <c:crosses val="autoZero"/>
        <c:auto val="1"/>
        <c:lblAlgn val="ctr"/>
        <c:lblOffset val="100"/>
        <c:noMultiLvlLbl val="0"/>
      </c:catAx>
      <c:valAx>
        <c:axId val="263765312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6935168"/>
        <c:crosses val="autoZero"/>
        <c:crossBetween val="between"/>
      </c:valAx>
      <c:valAx>
        <c:axId val="316915712"/>
        <c:scaling>
          <c:orientation val="minMax"/>
        </c:scaling>
        <c:delete val="0"/>
        <c:axPos val="r"/>
        <c:numFmt formatCode="0.0000_ " sourceLinked="1"/>
        <c:majorTickMark val="out"/>
        <c:minorTickMark val="none"/>
        <c:tickLblPos val="nextTo"/>
        <c:crossAx val="317288448"/>
        <c:crosses val="max"/>
        <c:crossBetween val="between"/>
      </c:valAx>
      <c:catAx>
        <c:axId val="317288448"/>
        <c:scaling>
          <c:orientation val="minMax"/>
        </c:scaling>
        <c:delete val="1"/>
        <c:axPos val="b"/>
        <c:majorTickMark val="out"/>
        <c:minorTickMark val="none"/>
        <c:tickLblPos val="none"/>
        <c:crossAx val="31691571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'Ex1'!$U$53:$U$67</c:f>
              <c:numCache>
                <c:formatCode>General</c:formatCode>
                <c:ptCount val="15"/>
                <c:pt idx="0">
                  <c:v>-4302</c:v>
                </c:pt>
                <c:pt idx="1">
                  <c:v>-4460</c:v>
                </c:pt>
                <c:pt idx="2">
                  <c:v>-4262</c:v>
                </c:pt>
                <c:pt idx="3">
                  <c:v>-4129</c:v>
                </c:pt>
                <c:pt idx="4">
                  <c:v>-3330</c:v>
                </c:pt>
                <c:pt idx="5">
                  <c:v>-3530</c:v>
                </c:pt>
                <c:pt idx="6">
                  <c:v>-4383</c:v>
                </c:pt>
                <c:pt idx="7">
                  <c:v>-3988</c:v>
                </c:pt>
                <c:pt idx="8">
                  <c:v>-3904</c:v>
                </c:pt>
                <c:pt idx="9">
                  <c:v>-4160</c:v>
                </c:pt>
                <c:pt idx="10">
                  <c:v>-3805</c:v>
                </c:pt>
                <c:pt idx="11">
                  <c:v>-4353</c:v>
                </c:pt>
                <c:pt idx="12">
                  <c:v>-4642</c:v>
                </c:pt>
                <c:pt idx="13">
                  <c:v>-4674</c:v>
                </c:pt>
                <c:pt idx="14">
                  <c:v>-4863</c:v>
                </c:pt>
              </c:numCache>
            </c:numRef>
          </c:val>
        </c:ser>
        <c:ser>
          <c:idx val="1"/>
          <c:order val="1"/>
          <c:val>
            <c:numRef>
              <c:f>'Ex1'!$V$53:$V$67</c:f>
              <c:numCache>
                <c:formatCode>General</c:formatCode>
                <c:ptCount val="15"/>
                <c:pt idx="0">
                  <c:v>-4116</c:v>
                </c:pt>
                <c:pt idx="1">
                  <c:v>-4921</c:v>
                </c:pt>
                <c:pt idx="2">
                  <c:v>-4144</c:v>
                </c:pt>
                <c:pt idx="3">
                  <c:v>-4114</c:v>
                </c:pt>
                <c:pt idx="4">
                  <c:v>-3305</c:v>
                </c:pt>
                <c:pt idx="5">
                  <c:v>-3530</c:v>
                </c:pt>
                <c:pt idx="6">
                  <c:v>-4251</c:v>
                </c:pt>
                <c:pt idx="7">
                  <c:v>-4108</c:v>
                </c:pt>
                <c:pt idx="8">
                  <c:v>-4182</c:v>
                </c:pt>
                <c:pt idx="9">
                  <c:v>-4171</c:v>
                </c:pt>
                <c:pt idx="10">
                  <c:v>-3991</c:v>
                </c:pt>
                <c:pt idx="11">
                  <c:v>-4256</c:v>
                </c:pt>
                <c:pt idx="12">
                  <c:v>-4801</c:v>
                </c:pt>
                <c:pt idx="13">
                  <c:v>-4248</c:v>
                </c:pt>
                <c:pt idx="14">
                  <c:v>-4649</c:v>
                </c:pt>
              </c:numCache>
            </c:numRef>
          </c:val>
        </c:ser>
        <c:ser>
          <c:idx val="2"/>
          <c:order val="2"/>
          <c:val>
            <c:numRef>
              <c:f>'Ex1'!$W$53:$W$67</c:f>
              <c:numCache>
                <c:formatCode>General</c:formatCode>
                <c:ptCount val="15"/>
                <c:pt idx="0">
                  <c:v>-4546</c:v>
                </c:pt>
                <c:pt idx="1">
                  <c:v>-4556</c:v>
                </c:pt>
                <c:pt idx="2">
                  <c:v>-4493</c:v>
                </c:pt>
                <c:pt idx="3">
                  <c:v>-3901</c:v>
                </c:pt>
                <c:pt idx="4">
                  <c:v>-3822</c:v>
                </c:pt>
                <c:pt idx="5">
                  <c:v>-3524</c:v>
                </c:pt>
                <c:pt idx="6">
                  <c:v>-3984</c:v>
                </c:pt>
                <c:pt idx="7">
                  <c:v>-4276</c:v>
                </c:pt>
                <c:pt idx="8">
                  <c:v>-4586</c:v>
                </c:pt>
                <c:pt idx="9">
                  <c:v>-4168</c:v>
                </c:pt>
                <c:pt idx="10">
                  <c:v>-3883</c:v>
                </c:pt>
                <c:pt idx="11">
                  <c:v>-4387</c:v>
                </c:pt>
                <c:pt idx="12">
                  <c:v>-4681</c:v>
                </c:pt>
                <c:pt idx="13">
                  <c:v>-4595</c:v>
                </c:pt>
                <c:pt idx="14">
                  <c:v>-4812</c:v>
                </c:pt>
              </c:numCache>
            </c:numRef>
          </c:val>
        </c:ser>
        <c:ser>
          <c:idx val="3"/>
          <c:order val="3"/>
          <c:val>
            <c:numRef>
              <c:f>'Ex1'!$X$53:$X$67</c:f>
              <c:numCache>
                <c:formatCode>General</c:formatCode>
                <c:ptCount val="15"/>
                <c:pt idx="0">
                  <c:v>-4677</c:v>
                </c:pt>
                <c:pt idx="1">
                  <c:v>-4530</c:v>
                </c:pt>
                <c:pt idx="2">
                  <c:v>-4537</c:v>
                </c:pt>
                <c:pt idx="3">
                  <c:v>-3975</c:v>
                </c:pt>
                <c:pt idx="4">
                  <c:v>-3971</c:v>
                </c:pt>
                <c:pt idx="5">
                  <c:v>-4072</c:v>
                </c:pt>
                <c:pt idx="6">
                  <c:v>-4011</c:v>
                </c:pt>
                <c:pt idx="7">
                  <c:v>-4111</c:v>
                </c:pt>
                <c:pt idx="8">
                  <c:v>-4420</c:v>
                </c:pt>
                <c:pt idx="9">
                  <c:v>-3929</c:v>
                </c:pt>
                <c:pt idx="10">
                  <c:v>-4516</c:v>
                </c:pt>
                <c:pt idx="11">
                  <c:v>-4543</c:v>
                </c:pt>
                <c:pt idx="12">
                  <c:v>-4234</c:v>
                </c:pt>
                <c:pt idx="13">
                  <c:v>-4858</c:v>
                </c:pt>
                <c:pt idx="14">
                  <c:v>-4728</c:v>
                </c:pt>
              </c:numCache>
            </c:numRef>
          </c:val>
        </c:ser>
        <c:ser>
          <c:idx val="4"/>
          <c:order val="4"/>
          <c:val>
            <c:numRef>
              <c:f>'Ex1'!$Y$53:$Y$67</c:f>
              <c:numCache>
                <c:formatCode>General</c:formatCode>
                <c:ptCount val="15"/>
                <c:pt idx="0">
                  <c:v>-4725</c:v>
                </c:pt>
                <c:pt idx="1">
                  <c:v>-4325</c:v>
                </c:pt>
                <c:pt idx="2">
                  <c:v>-4157</c:v>
                </c:pt>
                <c:pt idx="3">
                  <c:v>-4321</c:v>
                </c:pt>
                <c:pt idx="4">
                  <c:v>-3998</c:v>
                </c:pt>
                <c:pt idx="5">
                  <c:v>-4190</c:v>
                </c:pt>
                <c:pt idx="6">
                  <c:v>-3455</c:v>
                </c:pt>
                <c:pt idx="7">
                  <c:v>-4014</c:v>
                </c:pt>
                <c:pt idx="8">
                  <c:v>-4163</c:v>
                </c:pt>
                <c:pt idx="9">
                  <c:v>-4198</c:v>
                </c:pt>
                <c:pt idx="10">
                  <c:v>-4504</c:v>
                </c:pt>
                <c:pt idx="11">
                  <c:v>-4528</c:v>
                </c:pt>
                <c:pt idx="12">
                  <c:v>-4693</c:v>
                </c:pt>
                <c:pt idx="13">
                  <c:v>-4615</c:v>
                </c:pt>
                <c:pt idx="14">
                  <c:v>-4923</c:v>
                </c:pt>
              </c:numCache>
            </c:numRef>
          </c:val>
        </c:ser>
        <c:ser>
          <c:idx val="5"/>
          <c:order val="5"/>
          <c:val>
            <c:numRef>
              <c:f>'Ex1'!$Z$53:$Z$67</c:f>
              <c:numCache>
                <c:formatCode>General</c:formatCode>
                <c:ptCount val="15"/>
                <c:pt idx="0">
                  <c:v>-4408</c:v>
                </c:pt>
                <c:pt idx="1">
                  <c:v>-4283</c:v>
                </c:pt>
                <c:pt idx="2">
                  <c:v>-3808</c:v>
                </c:pt>
                <c:pt idx="3">
                  <c:v>-4284</c:v>
                </c:pt>
                <c:pt idx="4">
                  <c:v>-4272</c:v>
                </c:pt>
                <c:pt idx="5">
                  <c:v>-4034</c:v>
                </c:pt>
                <c:pt idx="6">
                  <c:v>-3540</c:v>
                </c:pt>
                <c:pt idx="7">
                  <c:v>-3305</c:v>
                </c:pt>
                <c:pt idx="8">
                  <c:v>-3631</c:v>
                </c:pt>
                <c:pt idx="9">
                  <c:v>-4629</c:v>
                </c:pt>
                <c:pt idx="10">
                  <c:v>-4696</c:v>
                </c:pt>
                <c:pt idx="11">
                  <c:v>-4931</c:v>
                </c:pt>
                <c:pt idx="12">
                  <c:v>-4852</c:v>
                </c:pt>
                <c:pt idx="13">
                  <c:v>-5193</c:v>
                </c:pt>
                <c:pt idx="14">
                  <c:v>-4494</c:v>
                </c:pt>
              </c:numCache>
            </c:numRef>
          </c:val>
        </c:ser>
        <c:ser>
          <c:idx val="6"/>
          <c:order val="6"/>
          <c:val>
            <c:numRef>
              <c:f>'Ex1'!$AA$53:$AA$67</c:f>
              <c:numCache>
                <c:formatCode>General</c:formatCode>
                <c:ptCount val="15"/>
                <c:pt idx="0">
                  <c:v>-4431</c:v>
                </c:pt>
                <c:pt idx="1">
                  <c:v>-4276</c:v>
                </c:pt>
                <c:pt idx="2">
                  <c:v>-3865</c:v>
                </c:pt>
                <c:pt idx="3">
                  <c:v>-4280</c:v>
                </c:pt>
                <c:pt idx="4">
                  <c:v>-4284</c:v>
                </c:pt>
                <c:pt idx="5">
                  <c:v>-4063</c:v>
                </c:pt>
                <c:pt idx="6">
                  <c:v>-3209</c:v>
                </c:pt>
                <c:pt idx="7">
                  <c:v>-3286</c:v>
                </c:pt>
                <c:pt idx="8">
                  <c:v>-3441</c:v>
                </c:pt>
                <c:pt idx="9">
                  <c:v>-4051</c:v>
                </c:pt>
                <c:pt idx="10">
                  <c:v>-4147</c:v>
                </c:pt>
                <c:pt idx="11">
                  <c:v>-4539</c:v>
                </c:pt>
                <c:pt idx="12">
                  <c:v>-4471</c:v>
                </c:pt>
                <c:pt idx="13">
                  <c:v>-4876</c:v>
                </c:pt>
                <c:pt idx="14">
                  <c:v>-4445</c:v>
                </c:pt>
              </c:numCache>
            </c:numRef>
          </c:val>
        </c:ser>
        <c:ser>
          <c:idx val="7"/>
          <c:order val="7"/>
          <c:val>
            <c:numRef>
              <c:f>'Ex1'!$AB$53:$AB$67</c:f>
              <c:numCache>
                <c:formatCode>General</c:formatCode>
                <c:ptCount val="15"/>
                <c:pt idx="0">
                  <c:v>-4304</c:v>
                </c:pt>
                <c:pt idx="1">
                  <c:v>-4212</c:v>
                </c:pt>
                <c:pt idx="2">
                  <c:v>-3765</c:v>
                </c:pt>
                <c:pt idx="3">
                  <c:v>-4250</c:v>
                </c:pt>
                <c:pt idx="4">
                  <c:v>-4044</c:v>
                </c:pt>
                <c:pt idx="5">
                  <c:v>-3893</c:v>
                </c:pt>
                <c:pt idx="6">
                  <c:v>-3306</c:v>
                </c:pt>
                <c:pt idx="7">
                  <c:v>-3648</c:v>
                </c:pt>
                <c:pt idx="8">
                  <c:v>-3872</c:v>
                </c:pt>
                <c:pt idx="9">
                  <c:v>-4051</c:v>
                </c:pt>
                <c:pt idx="10">
                  <c:v>-4242</c:v>
                </c:pt>
                <c:pt idx="11">
                  <c:v>-4471</c:v>
                </c:pt>
                <c:pt idx="12">
                  <c:v>-4059</c:v>
                </c:pt>
                <c:pt idx="13">
                  <c:v>-4385</c:v>
                </c:pt>
                <c:pt idx="14">
                  <c:v>-4526</c:v>
                </c:pt>
              </c:numCache>
            </c:numRef>
          </c:val>
        </c:ser>
        <c:ser>
          <c:idx val="8"/>
          <c:order val="8"/>
          <c:val>
            <c:numRef>
              <c:f>'Ex1'!$AC$53:$AC$67</c:f>
              <c:numCache>
                <c:formatCode>General</c:formatCode>
                <c:ptCount val="15"/>
                <c:pt idx="0">
                  <c:v>-4229</c:v>
                </c:pt>
                <c:pt idx="1">
                  <c:v>-4059</c:v>
                </c:pt>
                <c:pt idx="2">
                  <c:v>-3792</c:v>
                </c:pt>
                <c:pt idx="3">
                  <c:v>-3875</c:v>
                </c:pt>
                <c:pt idx="4">
                  <c:v>-3875</c:v>
                </c:pt>
                <c:pt idx="5">
                  <c:v>-3791</c:v>
                </c:pt>
                <c:pt idx="6">
                  <c:v>-3603</c:v>
                </c:pt>
                <c:pt idx="7">
                  <c:v>-3674</c:v>
                </c:pt>
                <c:pt idx="8">
                  <c:v>-3861</c:v>
                </c:pt>
                <c:pt idx="9">
                  <c:v>-4254</c:v>
                </c:pt>
                <c:pt idx="10">
                  <c:v>-4242</c:v>
                </c:pt>
                <c:pt idx="11">
                  <c:v>-3886</c:v>
                </c:pt>
                <c:pt idx="12">
                  <c:v>-4059</c:v>
                </c:pt>
                <c:pt idx="13">
                  <c:v>-4379</c:v>
                </c:pt>
                <c:pt idx="14">
                  <c:v>-4159</c:v>
                </c:pt>
              </c:numCache>
            </c:numRef>
          </c:val>
        </c:ser>
        <c:ser>
          <c:idx val="9"/>
          <c:order val="9"/>
          <c:val>
            <c:numRef>
              <c:f>'Ex1'!$AD$53:$AD$67</c:f>
              <c:numCache>
                <c:formatCode>General</c:formatCode>
                <c:ptCount val="15"/>
                <c:pt idx="0">
                  <c:v>-4229</c:v>
                </c:pt>
                <c:pt idx="1">
                  <c:v>-3912</c:v>
                </c:pt>
                <c:pt idx="2">
                  <c:v>-3737</c:v>
                </c:pt>
                <c:pt idx="3">
                  <c:v>-3875</c:v>
                </c:pt>
                <c:pt idx="4">
                  <c:v>-3658</c:v>
                </c:pt>
                <c:pt idx="5">
                  <c:v>-3713</c:v>
                </c:pt>
                <c:pt idx="6">
                  <c:v>-3547</c:v>
                </c:pt>
                <c:pt idx="7">
                  <c:v>-3814</c:v>
                </c:pt>
                <c:pt idx="8">
                  <c:v>-4120</c:v>
                </c:pt>
                <c:pt idx="9">
                  <c:v>-4242</c:v>
                </c:pt>
                <c:pt idx="10">
                  <c:v>-4242</c:v>
                </c:pt>
                <c:pt idx="11">
                  <c:v>-3906</c:v>
                </c:pt>
                <c:pt idx="12">
                  <c:v>-4054</c:v>
                </c:pt>
                <c:pt idx="13">
                  <c:v>-4085</c:v>
                </c:pt>
                <c:pt idx="14">
                  <c:v>-4674</c:v>
                </c:pt>
              </c:numCache>
            </c:numRef>
          </c:val>
        </c:ser>
        <c:bandFmts/>
        <c:axId val="317289472"/>
        <c:axId val="316917440"/>
        <c:axId val="314708608"/>
      </c:surface3DChart>
      <c:catAx>
        <c:axId val="317289472"/>
        <c:scaling>
          <c:orientation val="minMax"/>
        </c:scaling>
        <c:delete val="0"/>
        <c:axPos val="b"/>
        <c:majorTickMark val="out"/>
        <c:minorTickMark val="none"/>
        <c:tickLblPos val="nextTo"/>
        <c:crossAx val="316917440"/>
        <c:crosses val="autoZero"/>
        <c:auto val="1"/>
        <c:lblAlgn val="ctr"/>
        <c:lblOffset val="100"/>
        <c:noMultiLvlLbl val="0"/>
      </c:catAx>
      <c:valAx>
        <c:axId val="31691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289472"/>
        <c:crosses val="autoZero"/>
        <c:crossBetween val="midCat"/>
      </c:valAx>
      <c:serAx>
        <c:axId val="31470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316917440"/>
        <c:crosses val="autoZero"/>
      </c:ser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'Ex1'!$L$52:$L$302</c:f>
              <c:numCache>
                <c:formatCode>"$"#,##0.00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-100</c:v>
                </c:pt>
                <c:pt idx="8">
                  <c:v>-184</c:v>
                </c:pt>
                <c:pt idx="9">
                  <c:v>-164</c:v>
                </c:pt>
                <c:pt idx="10">
                  <c:v>-320</c:v>
                </c:pt>
                <c:pt idx="11">
                  <c:v>-81</c:v>
                </c:pt>
                <c:pt idx="12">
                  <c:v>-96</c:v>
                </c:pt>
                <c:pt idx="13">
                  <c:v>-96</c:v>
                </c:pt>
                <c:pt idx="14">
                  <c:v>-75</c:v>
                </c:pt>
                <c:pt idx="15">
                  <c:v>-94</c:v>
                </c:pt>
                <c:pt idx="16">
                  <c:v>-65</c:v>
                </c:pt>
                <c:pt idx="17">
                  <c:v>-1</c:v>
                </c:pt>
                <c:pt idx="18">
                  <c:v>-2</c:v>
                </c:pt>
                <c:pt idx="19">
                  <c:v>198</c:v>
                </c:pt>
                <c:pt idx="20">
                  <c:v>242</c:v>
                </c:pt>
                <c:pt idx="21">
                  <c:v>199</c:v>
                </c:pt>
                <c:pt idx="22">
                  <c:v>300</c:v>
                </c:pt>
                <c:pt idx="23">
                  <c:v>313</c:v>
                </c:pt>
                <c:pt idx="24">
                  <c:v>190</c:v>
                </c:pt>
                <c:pt idx="25">
                  <c:v>232</c:v>
                </c:pt>
                <c:pt idx="26">
                  <c:v>96</c:v>
                </c:pt>
                <c:pt idx="27">
                  <c:v>137</c:v>
                </c:pt>
                <c:pt idx="28">
                  <c:v>124</c:v>
                </c:pt>
                <c:pt idx="29">
                  <c:v>422</c:v>
                </c:pt>
                <c:pt idx="30">
                  <c:v>480</c:v>
                </c:pt>
                <c:pt idx="31">
                  <c:v>590</c:v>
                </c:pt>
                <c:pt idx="32">
                  <c:v>781</c:v>
                </c:pt>
                <c:pt idx="33">
                  <c:v>934</c:v>
                </c:pt>
                <c:pt idx="34">
                  <c:v>501</c:v>
                </c:pt>
                <c:pt idx="35">
                  <c:v>712</c:v>
                </c:pt>
                <c:pt idx="36">
                  <c:v>725</c:v>
                </c:pt>
                <c:pt idx="37">
                  <c:v>741</c:v>
                </c:pt>
                <c:pt idx="38">
                  <c:v>675</c:v>
                </c:pt>
                <c:pt idx="39">
                  <c:v>354</c:v>
                </c:pt>
                <c:pt idx="40">
                  <c:v>72</c:v>
                </c:pt>
                <c:pt idx="41">
                  <c:v>132</c:v>
                </c:pt>
                <c:pt idx="42">
                  <c:v>-91</c:v>
                </c:pt>
                <c:pt idx="43">
                  <c:v>295</c:v>
                </c:pt>
                <c:pt idx="44">
                  <c:v>476</c:v>
                </c:pt>
                <c:pt idx="45">
                  <c:v>522</c:v>
                </c:pt>
                <c:pt idx="46">
                  <c:v>542</c:v>
                </c:pt>
                <c:pt idx="47">
                  <c:v>387</c:v>
                </c:pt>
                <c:pt idx="48">
                  <c:v>571</c:v>
                </c:pt>
                <c:pt idx="49">
                  <c:v>888</c:v>
                </c:pt>
                <c:pt idx="50">
                  <c:v>761</c:v>
                </c:pt>
                <c:pt idx="51">
                  <c:v>819</c:v>
                </c:pt>
                <c:pt idx="52">
                  <c:v>792</c:v>
                </c:pt>
                <c:pt idx="53">
                  <c:v>1050</c:v>
                </c:pt>
                <c:pt idx="54">
                  <c:v>992</c:v>
                </c:pt>
                <c:pt idx="55">
                  <c:v>1325</c:v>
                </c:pt>
                <c:pt idx="56">
                  <c:v>1375</c:v>
                </c:pt>
                <c:pt idx="57">
                  <c:v>1492</c:v>
                </c:pt>
                <c:pt idx="58">
                  <c:v>1150</c:v>
                </c:pt>
                <c:pt idx="59">
                  <c:v>1277</c:v>
                </c:pt>
                <c:pt idx="60">
                  <c:v>1459</c:v>
                </c:pt>
                <c:pt idx="61">
                  <c:v>1633</c:v>
                </c:pt>
                <c:pt idx="62">
                  <c:v>1614</c:v>
                </c:pt>
                <c:pt idx="63">
                  <c:v>1620</c:v>
                </c:pt>
                <c:pt idx="64">
                  <c:v>1781</c:v>
                </c:pt>
                <c:pt idx="65">
                  <c:v>1943</c:v>
                </c:pt>
                <c:pt idx="66">
                  <c:v>1885</c:v>
                </c:pt>
                <c:pt idx="67">
                  <c:v>1582</c:v>
                </c:pt>
                <c:pt idx="68">
                  <c:v>1864</c:v>
                </c:pt>
                <c:pt idx="69">
                  <c:v>1836</c:v>
                </c:pt>
                <c:pt idx="70">
                  <c:v>2142</c:v>
                </c:pt>
                <c:pt idx="71">
                  <c:v>2392</c:v>
                </c:pt>
                <c:pt idx="72">
                  <c:v>2540</c:v>
                </c:pt>
                <c:pt idx="73">
                  <c:v>2526</c:v>
                </c:pt>
                <c:pt idx="74">
                  <c:v>2448</c:v>
                </c:pt>
                <c:pt idx="75">
                  <c:v>2105</c:v>
                </c:pt>
                <c:pt idx="76">
                  <c:v>2181</c:v>
                </c:pt>
                <c:pt idx="77">
                  <c:v>2180</c:v>
                </c:pt>
                <c:pt idx="78">
                  <c:v>2022</c:v>
                </c:pt>
                <c:pt idx="79">
                  <c:v>2069</c:v>
                </c:pt>
                <c:pt idx="80">
                  <c:v>1833</c:v>
                </c:pt>
                <c:pt idx="81">
                  <c:v>1928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1828</c:v>
                </c:pt>
                <c:pt idx="93">
                  <c:v>1887</c:v>
                </c:pt>
                <c:pt idx="94">
                  <c:v>1939</c:v>
                </c:pt>
                <c:pt idx="95">
                  <c:v>1988</c:v>
                </c:pt>
                <c:pt idx="96">
                  <c:v>1948</c:v>
                </c:pt>
                <c:pt idx="97">
                  <c:v>1882</c:v>
                </c:pt>
                <c:pt idx="98">
                  <c:v>1917</c:v>
                </c:pt>
                <c:pt idx="99">
                  <c:v>1686</c:v>
                </c:pt>
                <c:pt idx="100">
                  <c:v>1711</c:v>
                </c:pt>
                <c:pt idx="101">
                  <c:v>1952</c:v>
                </c:pt>
                <c:pt idx="102">
                  <c:v>1767</c:v>
                </c:pt>
                <c:pt idx="103">
                  <c:v>1792</c:v>
                </c:pt>
                <c:pt idx="104">
                  <c:v>1754</c:v>
                </c:pt>
                <c:pt idx="105">
                  <c:v>1678</c:v>
                </c:pt>
                <c:pt idx="106">
                  <c:v>1697</c:v>
                </c:pt>
                <c:pt idx="107">
                  <c:v>1848</c:v>
                </c:pt>
                <c:pt idx="108">
                  <c:v>2028</c:v>
                </c:pt>
                <c:pt idx="109">
                  <c:v>1998</c:v>
                </c:pt>
                <c:pt idx="110">
                  <c:v>1972</c:v>
                </c:pt>
                <c:pt idx="111">
                  <c:v>1999</c:v>
                </c:pt>
                <c:pt idx="112">
                  <c:v>1991</c:v>
                </c:pt>
                <c:pt idx="113">
                  <c:v>1812</c:v>
                </c:pt>
                <c:pt idx="114">
                  <c:v>1837</c:v>
                </c:pt>
                <c:pt idx="115">
                  <c:v>1707</c:v>
                </c:pt>
                <c:pt idx="116">
                  <c:v>1671</c:v>
                </c:pt>
                <c:pt idx="117">
                  <c:v>1625</c:v>
                </c:pt>
                <c:pt idx="118">
                  <c:v>1925</c:v>
                </c:pt>
                <c:pt idx="119">
                  <c:v>1930</c:v>
                </c:pt>
                <c:pt idx="120">
                  <c:v>1918</c:v>
                </c:pt>
                <c:pt idx="121">
                  <c:v>1863</c:v>
                </c:pt>
                <c:pt idx="122">
                  <c:v>1774</c:v>
                </c:pt>
                <c:pt idx="123">
                  <c:v>1782</c:v>
                </c:pt>
                <c:pt idx="124">
                  <c:v>2053</c:v>
                </c:pt>
                <c:pt idx="125">
                  <c:v>1969</c:v>
                </c:pt>
                <c:pt idx="126">
                  <c:v>1943</c:v>
                </c:pt>
                <c:pt idx="127">
                  <c:v>1935</c:v>
                </c:pt>
                <c:pt idx="128">
                  <c:v>2052</c:v>
                </c:pt>
                <c:pt idx="129">
                  <c:v>2160</c:v>
                </c:pt>
                <c:pt idx="130">
                  <c:v>2131</c:v>
                </c:pt>
                <c:pt idx="131">
                  <c:v>2017</c:v>
                </c:pt>
                <c:pt idx="132">
                  <c:v>1941</c:v>
                </c:pt>
                <c:pt idx="133">
                  <c:v>2022</c:v>
                </c:pt>
                <c:pt idx="134">
                  <c:v>1849</c:v>
                </c:pt>
                <c:pt idx="135">
                  <c:v>1836</c:v>
                </c:pt>
                <c:pt idx="136">
                  <c:v>1795</c:v>
                </c:pt>
                <c:pt idx="137">
                  <c:v>1734</c:v>
                </c:pt>
                <c:pt idx="138">
                  <c:v>1772</c:v>
                </c:pt>
                <c:pt idx="139">
                  <c:v>1660</c:v>
                </c:pt>
                <c:pt idx="140">
                  <c:v>1656</c:v>
                </c:pt>
                <c:pt idx="141">
                  <c:v>1737</c:v>
                </c:pt>
                <c:pt idx="142">
                  <c:v>1805</c:v>
                </c:pt>
                <c:pt idx="143">
                  <c:v>1763</c:v>
                </c:pt>
                <c:pt idx="144">
                  <c:v>1868</c:v>
                </c:pt>
                <c:pt idx="145">
                  <c:v>1805</c:v>
                </c:pt>
                <c:pt idx="146">
                  <c:v>1850</c:v>
                </c:pt>
                <c:pt idx="147">
                  <c:v>1765</c:v>
                </c:pt>
                <c:pt idx="148">
                  <c:v>1754</c:v>
                </c:pt>
                <c:pt idx="149">
                  <c:v>1721</c:v>
                </c:pt>
                <c:pt idx="150">
                  <c:v>1900</c:v>
                </c:pt>
                <c:pt idx="151">
                  <c:v>1864</c:v>
                </c:pt>
                <c:pt idx="152">
                  <c:v>1720</c:v>
                </c:pt>
                <c:pt idx="153">
                  <c:v>1636</c:v>
                </c:pt>
                <c:pt idx="154">
                  <c:v>1603</c:v>
                </c:pt>
                <c:pt idx="155">
                  <c:v>1559</c:v>
                </c:pt>
                <c:pt idx="156">
                  <c:v>1504</c:v>
                </c:pt>
                <c:pt idx="157">
                  <c:v>1402</c:v>
                </c:pt>
                <c:pt idx="158">
                  <c:v>1412</c:v>
                </c:pt>
                <c:pt idx="159">
                  <c:v>1260</c:v>
                </c:pt>
                <c:pt idx="160">
                  <c:v>1198</c:v>
                </c:pt>
                <c:pt idx="161">
                  <c:v>1103</c:v>
                </c:pt>
                <c:pt idx="162">
                  <c:v>1133</c:v>
                </c:pt>
                <c:pt idx="163">
                  <c:v>1180</c:v>
                </c:pt>
                <c:pt idx="164">
                  <c:v>1210</c:v>
                </c:pt>
                <c:pt idx="165">
                  <c:v>1029</c:v>
                </c:pt>
                <c:pt idx="166">
                  <c:v>898</c:v>
                </c:pt>
                <c:pt idx="167">
                  <c:v>800</c:v>
                </c:pt>
                <c:pt idx="168">
                  <c:v>775</c:v>
                </c:pt>
                <c:pt idx="169">
                  <c:v>807</c:v>
                </c:pt>
                <c:pt idx="170">
                  <c:v>985</c:v>
                </c:pt>
                <c:pt idx="171">
                  <c:v>959</c:v>
                </c:pt>
                <c:pt idx="172">
                  <c:v>846</c:v>
                </c:pt>
                <c:pt idx="173">
                  <c:v>649</c:v>
                </c:pt>
                <c:pt idx="174">
                  <c:v>651</c:v>
                </c:pt>
                <c:pt idx="175">
                  <c:v>635</c:v>
                </c:pt>
                <c:pt idx="176">
                  <c:v>577</c:v>
                </c:pt>
                <c:pt idx="177">
                  <c:v>704</c:v>
                </c:pt>
                <c:pt idx="178">
                  <c:v>448</c:v>
                </c:pt>
                <c:pt idx="179">
                  <c:v>333</c:v>
                </c:pt>
                <c:pt idx="180">
                  <c:v>314</c:v>
                </c:pt>
                <c:pt idx="181">
                  <c:v>302</c:v>
                </c:pt>
                <c:pt idx="182">
                  <c:v>301</c:v>
                </c:pt>
                <c:pt idx="183">
                  <c:v>166</c:v>
                </c:pt>
                <c:pt idx="184">
                  <c:v>385</c:v>
                </c:pt>
                <c:pt idx="185">
                  <c:v>395</c:v>
                </c:pt>
                <c:pt idx="186">
                  <c:v>264</c:v>
                </c:pt>
                <c:pt idx="187">
                  <c:v>313</c:v>
                </c:pt>
                <c:pt idx="188">
                  <c:v>259</c:v>
                </c:pt>
                <c:pt idx="189">
                  <c:v>256</c:v>
                </c:pt>
                <c:pt idx="190">
                  <c:v>450</c:v>
                </c:pt>
                <c:pt idx="191">
                  <c:v>580</c:v>
                </c:pt>
                <c:pt idx="192">
                  <c:v>537</c:v>
                </c:pt>
                <c:pt idx="193">
                  <c:v>145</c:v>
                </c:pt>
                <c:pt idx="194">
                  <c:v>-276</c:v>
                </c:pt>
                <c:pt idx="195">
                  <c:v>-382</c:v>
                </c:pt>
                <c:pt idx="196">
                  <c:v>-376</c:v>
                </c:pt>
                <c:pt idx="197">
                  <c:v>-453</c:v>
                </c:pt>
                <c:pt idx="198">
                  <c:v>-412</c:v>
                </c:pt>
                <c:pt idx="199">
                  <c:v>-437</c:v>
                </c:pt>
                <c:pt idx="200">
                  <c:v>-287</c:v>
                </c:pt>
                <c:pt idx="201">
                  <c:v>-309</c:v>
                </c:pt>
                <c:pt idx="202">
                  <c:v>-161</c:v>
                </c:pt>
                <c:pt idx="203">
                  <c:v>-316</c:v>
                </c:pt>
                <c:pt idx="204">
                  <c:v>-401</c:v>
                </c:pt>
                <c:pt idx="205">
                  <c:v>-533</c:v>
                </c:pt>
                <c:pt idx="206">
                  <c:v>-508</c:v>
                </c:pt>
                <c:pt idx="207">
                  <c:v>-511</c:v>
                </c:pt>
                <c:pt idx="208">
                  <c:v>-532</c:v>
                </c:pt>
                <c:pt idx="209">
                  <c:v>-564</c:v>
                </c:pt>
                <c:pt idx="210">
                  <c:v>-486</c:v>
                </c:pt>
                <c:pt idx="211">
                  <c:v>-772</c:v>
                </c:pt>
                <c:pt idx="212">
                  <c:v>-794</c:v>
                </c:pt>
                <c:pt idx="213">
                  <c:v>-756</c:v>
                </c:pt>
                <c:pt idx="214">
                  <c:v>-738</c:v>
                </c:pt>
                <c:pt idx="215">
                  <c:v>-624</c:v>
                </c:pt>
                <c:pt idx="216">
                  <c:v>-630</c:v>
                </c:pt>
                <c:pt idx="217">
                  <c:v>-673</c:v>
                </c:pt>
                <c:pt idx="218">
                  <c:v>-483</c:v>
                </c:pt>
                <c:pt idx="219">
                  <c:v>-253</c:v>
                </c:pt>
                <c:pt idx="220">
                  <c:v>-299</c:v>
                </c:pt>
                <c:pt idx="221">
                  <c:v>-356</c:v>
                </c:pt>
                <c:pt idx="222">
                  <c:v>-277</c:v>
                </c:pt>
                <c:pt idx="223">
                  <c:v>-48</c:v>
                </c:pt>
                <c:pt idx="224">
                  <c:v>-48</c:v>
                </c:pt>
                <c:pt idx="225">
                  <c:v>18</c:v>
                </c:pt>
                <c:pt idx="226">
                  <c:v>70</c:v>
                </c:pt>
                <c:pt idx="227">
                  <c:v>22</c:v>
                </c:pt>
                <c:pt idx="228">
                  <c:v>-46</c:v>
                </c:pt>
                <c:pt idx="229">
                  <c:v>88</c:v>
                </c:pt>
                <c:pt idx="230">
                  <c:v>-151</c:v>
                </c:pt>
                <c:pt idx="231">
                  <c:v>-229</c:v>
                </c:pt>
                <c:pt idx="232">
                  <c:v>-231</c:v>
                </c:pt>
                <c:pt idx="233">
                  <c:v>-185</c:v>
                </c:pt>
                <c:pt idx="234">
                  <c:v>-223</c:v>
                </c:pt>
                <c:pt idx="235">
                  <c:v>-357</c:v>
                </c:pt>
                <c:pt idx="236">
                  <c:v>-430</c:v>
                </c:pt>
                <c:pt idx="237">
                  <c:v>-387</c:v>
                </c:pt>
                <c:pt idx="238">
                  <c:v>-356</c:v>
                </c:pt>
                <c:pt idx="239">
                  <c:v>-433</c:v>
                </c:pt>
                <c:pt idx="240">
                  <c:v>-395</c:v>
                </c:pt>
                <c:pt idx="241">
                  <c:v>-492</c:v>
                </c:pt>
                <c:pt idx="242">
                  <c:v>-523</c:v>
                </c:pt>
                <c:pt idx="243">
                  <c:v>-237</c:v>
                </c:pt>
                <c:pt idx="244">
                  <c:v>-348</c:v>
                </c:pt>
                <c:pt idx="245">
                  <c:v>-531</c:v>
                </c:pt>
                <c:pt idx="246">
                  <c:v>-477</c:v>
                </c:pt>
                <c:pt idx="247">
                  <c:v>-524</c:v>
                </c:pt>
                <c:pt idx="248">
                  <c:v>-627</c:v>
                </c:pt>
                <c:pt idx="249">
                  <c:v>-642</c:v>
                </c:pt>
                <c:pt idx="250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291008"/>
        <c:axId val="316919744"/>
      </c:lineChar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'Ex1'!$J$52:$J$302</c:f>
              <c:numCache>
                <c:formatCode>General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0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0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0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0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0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292032"/>
        <c:axId val="316920320"/>
      </c:lineChart>
      <c:catAx>
        <c:axId val="317291008"/>
        <c:scaling>
          <c:orientation val="minMax"/>
        </c:scaling>
        <c:delete val="0"/>
        <c:axPos val="b"/>
        <c:majorTickMark val="out"/>
        <c:minorTickMark val="none"/>
        <c:tickLblPos val="nextTo"/>
        <c:crossAx val="316919744"/>
        <c:crosses val="autoZero"/>
        <c:auto val="1"/>
        <c:lblAlgn val="ctr"/>
        <c:lblOffset val="100"/>
        <c:noMultiLvlLbl val="0"/>
      </c:catAx>
      <c:valAx>
        <c:axId val="316919744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7291008"/>
        <c:crosses val="autoZero"/>
        <c:crossBetween val="between"/>
      </c:valAx>
      <c:valAx>
        <c:axId val="316920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17292032"/>
        <c:crosses val="max"/>
        <c:crossBetween val="between"/>
      </c:valAx>
      <c:catAx>
        <c:axId val="317292032"/>
        <c:scaling>
          <c:orientation val="minMax"/>
        </c:scaling>
        <c:delete val="1"/>
        <c:axPos val="b"/>
        <c:majorTickMark val="out"/>
        <c:minorTickMark val="none"/>
        <c:tickLblPos val="nextTo"/>
        <c:crossAx val="31692032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206375</xdr:colOff>
      <xdr:row>0</xdr:row>
      <xdr:rowOff>98914</xdr:rowOff>
    </xdr:from>
    <xdr:to>
      <xdr:col>29</xdr:col>
      <xdr:colOff>142875</xdr:colOff>
      <xdr:row>50</xdr:row>
      <xdr:rowOff>127000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3695</xdr:colOff>
      <xdr:row>70</xdr:row>
      <xdr:rowOff>27508</xdr:rowOff>
    </xdr:from>
    <xdr:to>
      <xdr:col>29</xdr:col>
      <xdr:colOff>670445</xdr:colOff>
      <xdr:row>90</xdr:row>
      <xdr:rowOff>47623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52</xdr:row>
          <xdr:rowOff>19050</xdr:rowOff>
        </xdr:from>
        <xdr:to>
          <xdr:col>19</xdr:col>
          <xdr:colOff>0</xdr:colOff>
          <xdr:row>53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1</xdr:colOff>
      <xdr:row>91</xdr:row>
      <xdr:rowOff>146446</xdr:rowOff>
    </xdr:from>
    <xdr:to>
      <xdr:col>29</xdr:col>
      <xdr:colOff>559593</xdr:colOff>
      <xdr:row>108</xdr:row>
      <xdr:rowOff>95250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S302"/>
  <sheetViews>
    <sheetView zoomScale="90" zoomScaleNormal="90" workbookViewId="0">
      <pane ySplit="930" topLeftCell="A129" activePane="bottomLeft"/>
      <selection sqref="A1:L2"/>
      <selection pane="bottomLeft" activeCell="N137" sqref="N137"/>
    </sheetView>
  </sheetViews>
  <sheetFormatPr defaultRowHeight="16.5"/>
  <cols>
    <col min="16" max="22" width="0" hidden="1" customWidth="1"/>
    <col min="23" max="23" width="9" style="103"/>
    <col min="24" max="25" width="0" hidden="1" customWidth="1"/>
    <col min="26" max="26" width="9" style="103"/>
  </cols>
  <sheetData>
    <row r="1" spans="1:97" ht="17.25" thickBot="1">
      <c r="A1" s="104" t="s">
        <v>19</v>
      </c>
      <c r="B1" s="105"/>
      <c r="C1" s="105"/>
      <c r="D1" s="105"/>
      <c r="E1" s="105"/>
      <c r="F1" s="106"/>
      <c r="G1" s="102"/>
      <c r="H1" s="102"/>
      <c r="I1" s="22" t="s">
        <v>15</v>
      </c>
      <c r="J1" s="101" t="s">
        <v>23</v>
      </c>
      <c r="K1" s="107" t="s">
        <v>26</v>
      </c>
      <c r="L1" s="108"/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</row>
    <row r="2" spans="1:97" ht="17.25" thickBot="1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5" t="s">
        <v>38</v>
      </c>
      <c r="H2" s="55" t="s">
        <v>39</v>
      </c>
      <c r="I2" s="12"/>
      <c r="J2" s="91"/>
      <c r="K2" s="13" t="s">
        <v>22</v>
      </c>
      <c r="L2" s="14" t="s">
        <v>25</v>
      </c>
    </row>
    <row r="3" spans="1:97">
      <c r="A3">
        <v>20080513</v>
      </c>
      <c r="B3">
        <v>8862</v>
      </c>
      <c r="C3">
        <v>9044</v>
      </c>
      <c r="D3">
        <v>8851</v>
      </c>
      <c r="E3">
        <v>9030</v>
      </c>
      <c r="F3">
        <v>62502</v>
      </c>
      <c r="G3">
        <v>0</v>
      </c>
      <c r="H3">
        <v>168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U3">
        <v>0</v>
      </c>
      <c r="V3">
        <v>0</v>
      </c>
      <c r="W3" s="103">
        <v>0</v>
      </c>
      <c r="X3">
        <v>0</v>
      </c>
      <c r="Y3">
        <v>0</v>
      </c>
      <c r="Z3" s="103">
        <v>0</v>
      </c>
    </row>
    <row r="4" spans="1:97">
      <c r="A4">
        <v>20080514</v>
      </c>
      <c r="B4">
        <v>9030</v>
      </c>
      <c r="C4">
        <v>9088</v>
      </c>
      <c r="D4">
        <v>9002</v>
      </c>
      <c r="E4">
        <v>9058</v>
      </c>
      <c r="F4">
        <v>53185</v>
      </c>
      <c r="G4">
        <v>0</v>
      </c>
      <c r="H4">
        <v>28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U4">
        <v>0</v>
      </c>
      <c r="V4">
        <v>0</v>
      </c>
      <c r="W4" s="103">
        <v>0</v>
      </c>
      <c r="X4">
        <v>0</v>
      </c>
      <c r="Y4">
        <v>0</v>
      </c>
      <c r="Z4" s="103">
        <v>0</v>
      </c>
    </row>
    <row r="5" spans="1:97">
      <c r="A5">
        <v>20080515</v>
      </c>
      <c r="B5">
        <v>9088</v>
      </c>
      <c r="C5">
        <v>9209</v>
      </c>
      <c r="D5">
        <v>9088</v>
      </c>
      <c r="E5">
        <v>9182</v>
      </c>
      <c r="F5">
        <v>53467</v>
      </c>
      <c r="G5">
        <v>30</v>
      </c>
      <c r="H5">
        <v>94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U5">
        <v>0</v>
      </c>
      <c r="V5">
        <v>0</v>
      </c>
      <c r="W5" s="103">
        <v>0</v>
      </c>
      <c r="X5">
        <v>0</v>
      </c>
      <c r="Y5">
        <v>0</v>
      </c>
      <c r="Z5" s="103">
        <v>0</v>
      </c>
    </row>
    <row r="6" spans="1:97">
      <c r="A6">
        <v>20080516</v>
      </c>
      <c r="B6">
        <v>9220</v>
      </c>
      <c r="C6">
        <v>9286</v>
      </c>
      <c r="D6">
        <v>9191</v>
      </c>
      <c r="E6">
        <v>9248</v>
      </c>
      <c r="F6">
        <v>54949</v>
      </c>
      <c r="G6">
        <v>38</v>
      </c>
      <c r="H6">
        <v>28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U6">
        <v>0</v>
      </c>
      <c r="V6">
        <v>0</v>
      </c>
      <c r="W6" s="103">
        <v>0</v>
      </c>
      <c r="X6">
        <v>0</v>
      </c>
      <c r="Y6">
        <v>0</v>
      </c>
      <c r="Z6" s="103">
        <v>0</v>
      </c>
    </row>
    <row r="7" spans="1:97">
      <c r="A7">
        <v>20080519</v>
      </c>
      <c r="B7">
        <v>9269</v>
      </c>
      <c r="C7">
        <v>9379</v>
      </c>
      <c r="D7">
        <v>9243</v>
      </c>
      <c r="E7">
        <v>9370</v>
      </c>
      <c r="F7">
        <v>44485</v>
      </c>
      <c r="G7">
        <v>21</v>
      </c>
      <c r="H7">
        <v>101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U7">
        <v>0</v>
      </c>
      <c r="V7">
        <v>0</v>
      </c>
      <c r="W7" s="103">
        <v>0</v>
      </c>
      <c r="X7">
        <v>0</v>
      </c>
      <c r="Y7">
        <v>0</v>
      </c>
      <c r="Z7" s="103">
        <v>0</v>
      </c>
    </row>
    <row r="8" spans="1:97">
      <c r="A8">
        <v>20080520</v>
      </c>
      <c r="B8">
        <v>9356</v>
      </c>
      <c r="C8">
        <v>9388</v>
      </c>
      <c r="D8">
        <v>9059</v>
      </c>
      <c r="E8">
        <v>9074</v>
      </c>
      <c r="F8">
        <v>77082</v>
      </c>
      <c r="G8">
        <v>-14</v>
      </c>
      <c r="H8">
        <v>-282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U8">
        <v>0</v>
      </c>
      <c r="V8">
        <v>0</v>
      </c>
      <c r="W8" s="103">
        <v>0</v>
      </c>
      <c r="X8">
        <v>0</v>
      </c>
      <c r="Y8">
        <v>0</v>
      </c>
      <c r="Z8" s="103">
        <v>0</v>
      </c>
    </row>
    <row r="9" spans="1:97">
      <c r="A9">
        <v>20080521</v>
      </c>
      <c r="B9">
        <v>9029</v>
      </c>
      <c r="C9">
        <v>9069</v>
      </c>
      <c r="D9">
        <v>8955</v>
      </c>
      <c r="E9">
        <v>8990</v>
      </c>
      <c r="F9">
        <v>46450</v>
      </c>
      <c r="G9">
        <v>-45</v>
      </c>
      <c r="H9">
        <v>-39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U9">
        <v>0</v>
      </c>
      <c r="V9">
        <v>0</v>
      </c>
      <c r="W9" s="103">
        <v>0</v>
      </c>
      <c r="X9">
        <v>0</v>
      </c>
      <c r="Y9">
        <v>0</v>
      </c>
      <c r="Z9" s="103">
        <v>0</v>
      </c>
    </row>
    <row r="10" spans="1:97">
      <c r="A10">
        <v>20080522</v>
      </c>
      <c r="B10">
        <v>8875</v>
      </c>
      <c r="C10">
        <v>9019</v>
      </c>
      <c r="D10">
        <v>8865</v>
      </c>
      <c r="E10">
        <v>9018</v>
      </c>
      <c r="F10">
        <v>56768</v>
      </c>
      <c r="G10">
        <v>-115</v>
      </c>
      <c r="H10">
        <v>143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U10">
        <v>0</v>
      </c>
      <c r="V10">
        <v>0</v>
      </c>
      <c r="W10" s="103">
        <v>0</v>
      </c>
      <c r="X10">
        <v>0</v>
      </c>
      <c r="Y10">
        <v>0</v>
      </c>
      <c r="Z10" s="103">
        <v>0</v>
      </c>
    </row>
    <row r="11" spans="1:97">
      <c r="A11">
        <v>20080523</v>
      </c>
      <c r="B11">
        <v>9000</v>
      </c>
      <c r="C11">
        <v>9027</v>
      </c>
      <c r="D11">
        <v>8778</v>
      </c>
      <c r="E11">
        <v>8786</v>
      </c>
      <c r="F11">
        <v>70595</v>
      </c>
      <c r="G11">
        <v>-18</v>
      </c>
      <c r="H11">
        <v>-214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U11">
        <v>0</v>
      </c>
      <c r="V11">
        <v>0</v>
      </c>
      <c r="W11" s="103">
        <v>0</v>
      </c>
      <c r="X11">
        <v>0</v>
      </c>
      <c r="Y11">
        <v>0</v>
      </c>
      <c r="Z11" s="103">
        <v>0</v>
      </c>
    </row>
    <row r="12" spans="1:97">
      <c r="A12">
        <v>20080526</v>
      </c>
      <c r="B12">
        <v>8736</v>
      </c>
      <c r="C12">
        <v>8790</v>
      </c>
      <c r="D12">
        <v>8689</v>
      </c>
      <c r="E12">
        <v>8699</v>
      </c>
      <c r="F12">
        <v>55917</v>
      </c>
      <c r="G12">
        <v>-50</v>
      </c>
      <c r="H12">
        <v>-37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U12">
        <v>0</v>
      </c>
      <c r="V12">
        <v>0</v>
      </c>
      <c r="W12" s="103">
        <v>0</v>
      </c>
      <c r="X12">
        <v>0</v>
      </c>
      <c r="Y12">
        <v>0</v>
      </c>
      <c r="Z12" s="103">
        <v>0</v>
      </c>
    </row>
    <row r="13" spans="1:97">
      <c r="A13">
        <v>20080527</v>
      </c>
      <c r="B13">
        <v>8701</v>
      </c>
      <c r="C13">
        <v>8785</v>
      </c>
      <c r="D13">
        <v>8700</v>
      </c>
      <c r="E13">
        <v>8776</v>
      </c>
      <c r="F13">
        <v>44009</v>
      </c>
      <c r="G13">
        <v>2</v>
      </c>
      <c r="H13">
        <v>75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U13">
        <v>0</v>
      </c>
      <c r="V13">
        <v>0</v>
      </c>
      <c r="W13" s="103">
        <v>0</v>
      </c>
      <c r="X13">
        <v>0</v>
      </c>
      <c r="Y13">
        <v>0</v>
      </c>
      <c r="Z13" s="103">
        <v>0</v>
      </c>
    </row>
    <row r="14" spans="1:97">
      <c r="A14">
        <v>20080528</v>
      </c>
      <c r="B14">
        <v>8790</v>
      </c>
      <c r="C14">
        <v>8795</v>
      </c>
      <c r="D14">
        <v>8625</v>
      </c>
      <c r="E14">
        <v>8646</v>
      </c>
      <c r="F14">
        <v>65689</v>
      </c>
      <c r="G14">
        <v>14</v>
      </c>
      <c r="H14">
        <v>-144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U14">
        <v>0</v>
      </c>
      <c r="V14">
        <v>0</v>
      </c>
      <c r="W14" s="103">
        <v>0</v>
      </c>
      <c r="X14">
        <v>0</v>
      </c>
      <c r="Y14">
        <v>0</v>
      </c>
      <c r="Z14" s="103">
        <v>0</v>
      </c>
    </row>
    <row r="15" spans="1:97">
      <c r="A15">
        <v>20080529</v>
      </c>
      <c r="B15">
        <v>8729</v>
      </c>
      <c r="C15">
        <v>8771</v>
      </c>
      <c r="D15">
        <v>8650</v>
      </c>
      <c r="E15">
        <v>8720</v>
      </c>
      <c r="F15">
        <v>56717</v>
      </c>
      <c r="G15">
        <v>83</v>
      </c>
      <c r="H15">
        <v>-9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U15">
        <v>0</v>
      </c>
      <c r="V15">
        <v>0</v>
      </c>
      <c r="W15" s="103">
        <v>0</v>
      </c>
      <c r="X15">
        <v>0</v>
      </c>
      <c r="Y15">
        <v>0</v>
      </c>
      <c r="Z15" s="103">
        <v>0</v>
      </c>
    </row>
    <row r="16" spans="1:97">
      <c r="A16">
        <v>20080530</v>
      </c>
      <c r="B16">
        <v>8765</v>
      </c>
      <c r="C16">
        <v>8780</v>
      </c>
      <c r="D16">
        <v>8536</v>
      </c>
      <c r="E16">
        <v>8648</v>
      </c>
      <c r="F16">
        <v>75934</v>
      </c>
      <c r="G16">
        <v>45</v>
      </c>
      <c r="H16">
        <v>-117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U16">
        <v>0</v>
      </c>
      <c r="V16">
        <v>0</v>
      </c>
      <c r="W16" s="103">
        <v>0</v>
      </c>
      <c r="X16">
        <v>0</v>
      </c>
      <c r="Y16">
        <v>0</v>
      </c>
      <c r="Z16" s="103">
        <v>0</v>
      </c>
    </row>
    <row r="17" spans="1:26">
      <c r="A17">
        <v>20080602</v>
      </c>
      <c r="B17">
        <v>8635</v>
      </c>
      <c r="C17">
        <v>8709</v>
      </c>
      <c r="D17">
        <v>8603</v>
      </c>
      <c r="E17">
        <v>8700</v>
      </c>
      <c r="F17">
        <v>49485</v>
      </c>
      <c r="G17">
        <v>-13</v>
      </c>
      <c r="H17">
        <v>65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U17">
        <v>0</v>
      </c>
      <c r="V17">
        <v>0</v>
      </c>
      <c r="W17" s="103">
        <v>0</v>
      </c>
      <c r="X17">
        <v>0</v>
      </c>
      <c r="Y17">
        <v>0</v>
      </c>
      <c r="Z17" s="103">
        <v>0</v>
      </c>
    </row>
    <row r="18" spans="1:26">
      <c r="A18">
        <v>20080603</v>
      </c>
      <c r="B18">
        <v>8644</v>
      </c>
      <c r="C18">
        <v>8657</v>
      </c>
      <c r="D18">
        <v>8510</v>
      </c>
      <c r="E18">
        <v>8540</v>
      </c>
      <c r="F18">
        <v>55795</v>
      </c>
      <c r="G18">
        <v>-56</v>
      </c>
      <c r="H18">
        <v>-104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U18">
        <v>0</v>
      </c>
      <c r="V18">
        <v>0</v>
      </c>
      <c r="W18" s="103">
        <v>0</v>
      </c>
      <c r="X18">
        <v>0</v>
      </c>
      <c r="Y18">
        <v>0</v>
      </c>
      <c r="Z18" s="103">
        <v>0</v>
      </c>
    </row>
    <row r="19" spans="1:26">
      <c r="A19">
        <v>20080604</v>
      </c>
      <c r="B19">
        <v>8540</v>
      </c>
      <c r="C19">
        <v>8619</v>
      </c>
      <c r="D19">
        <v>8526</v>
      </c>
      <c r="E19">
        <v>8592</v>
      </c>
      <c r="F19">
        <v>44302</v>
      </c>
      <c r="G19">
        <v>0</v>
      </c>
      <c r="H19">
        <v>52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U19">
        <v>0</v>
      </c>
      <c r="V19">
        <v>0</v>
      </c>
      <c r="W19" s="103">
        <v>0</v>
      </c>
      <c r="X19">
        <v>0</v>
      </c>
      <c r="Y19">
        <v>0</v>
      </c>
      <c r="Z19" s="103">
        <v>0</v>
      </c>
    </row>
    <row r="20" spans="1:26">
      <c r="A20">
        <v>20080605</v>
      </c>
      <c r="B20">
        <v>8571</v>
      </c>
      <c r="C20">
        <v>8765</v>
      </c>
      <c r="D20">
        <v>8472</v>
      </c>
      <c r="E20">
        <v>8725</v>
      </c>
      <c r="F20">
        <v>78503</v>
      </c>
      <c r="G20">
        <v>-21</v>
      </c>
      <c r="H20">
        <v>154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U20">
        <v>0</v>
      </c>
      <c r="V20">
        <v>0</v>
      </c>
      <c r="W20" s="103">
        <v>0</v>
      </c>
      <c r="X20">
        <v>0</v>
      </c>
      <c r="Y20">
        <v>0</v>
      </c>
      <c r="Z20" s="103">
        <v>0</v>
      </c>
    </row>
    <row r="21" spans="1:26">
      <c r="A21">
        <v>20080606</v>
      </c>
      <c r="B21">
        <v>8788</v>
      </c>
      <c r="C21">
        <v>8798</v>
      </c>
      <c r="D21">
        <v>8712</v>
      </c>
      <c r="E21">
        <v>8756</v>
      </c>
      <c r="F21">
        <v>49130</v>
      </c>
      <c r="G21">
        <v>63</v>
      </c>
      <c r="H21">
        <v>-32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U21">
        <v>0</v>
      </c>
      <c r="V21">
        <v>0</v>
      </c>
      <c r="W21" s="103">
        <v>0</v>
      </c>
      <c r="X21">
        <v>0</v>
      </c>
      <c r="Y21">
        <v>0</v>
      </c>
      <c r="Z21" s="103">
        <v>0</v>
      </c>
    </row>
    <row r="22" spans="1:26">
      <c r="A22">
        <v>20080609</v>
      </c>
      <c r="B22">
        <v>8520</v>
      </c>
      <c r="C22">
        <v>8555</v>
      </c>
      <c r="D22">
        <v>8492</v>
      </c>
      <c r="E22">
        <v>8529</v>
      </c>
      <c r="F22">
        <v>44676</v>
      </c>
      <c r="G22">
        <v>-236</v>
      </c>
      <c r="H22">
        <v>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U22">
        <v>0</v>
      </c>
      <c r="V22">
        <v>0</v>
      </c>
      <c r="W22" s="103">
        <v>0</v>
      </c>
      <c r="X22">
        <v>0</v>
      </c>
      <c r="Y22">
        <v>0</v>
      </c>
      <c r="Z22" s="103">
        <v>0</v>
      </c>
    </row>
    <row r="23" spans="1:26">
      <c r="A23">
        <v>20080610</v>
      </c>
      <c r="B23">
        <v>8529</v>
      </c>
      <c r="C23">
        <v>8565</v>
      </c>
      <c r="D23">
        <v>8321</v>
      </c>
      <c r="E23">
        <v>8340</v>
      </c>
      <c r="F23">
        <v>75201</v>
      </c>
      <c r="G23">
        <v>0</v>
      </c>
      <c r="H23">
        <v>-189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U23">
        <v>0</v>
      </c>
      <c r="V23">
        <v>0</v>
      </c>
      <c r="W23" s="103">
        <v>0</v>
      </c>
      <c r="X23">
        <v>0</v>
      </c>
      <c r="Y23">
        <v>0</v>
      </c>
      <c r="Z23" s="103">
        <v>0</v>
      </c>
    </row>
    <row r="24" spans="1:26">
      <c r="A24">
        <v>20080611</v>
      </c>
      <c r="B24">
        <v>8365</v>
      </c>
      <c r="C24">
        <v>8404</v>
      </c>
      <c r="D24">
        <v>8291</v>
      </c>
      <c r="E24">
        <v>8316</v>
      </c>
      <c r="F24">
        <v>58739</v>
      </c>
      <c r="G24">
        <v>25</v>
      </c>
      <c r="H24">
        <v>-49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U24">
        <v>0</v>
      </c>
      <c r="V24">
        <v>0</v>
      </c>
      <c r="W24" s="103">
        <v>0</v>
      </c>
      <c r="X24">
        <v>0</v>
      </c>
      <c r="Y24">
        <v>0</v>
      </c>
      <c r="Z24" s="103">
        <v>0</v>
      </c>
    </row>
    <row r="25" spans="1:26">
      <c r="A25">
        <v>20080612</v>
      </c>
      <c r="B25">
        <v>8199</v>
      </c>
      <c r="C25">
        <v>8204</v>
      </c>
      <c r="D25">
        <v>7999</v>
      </c>
      <c r="E25">
        <v>8043</v>
      </c>
      <c r="F25">
        <v>75451</v>
      </c>
      <c r="G25">
        <v>-117</v>
      </c>
      <c r="H25">
        <v>-156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U25">
        <v>0</v>
      </c>
      <c r="V25">
        <v>0</v>
      </c>
      <c r="W25" s="103">
        <v>0</v>
      </c>
      <c r="X25">
        <v>0</v>
      </c>
      <c r="Y25">
        <v>0</v>
      </c>
      <c r="Z25" s="103">
        <v>0</v>
      </c>
    </row>
    <row r="26" spans="1:26">
      <c r="A26">
        <v>20080613</v>
      </c>
      <c r="B26">
        <v>8068</v>
      </c>
      <c r="C26">
        <v>8140</v>
      </c>
      <c r="D26">
        <v>8002</v>
      </c>
      <c r="E26">
        <v>8043</v>
      </c>
      <c r="F26">
        <v>62762</v>
      </c>
      <c r="G26">
        <v>25</v>
      </c>
      <c r="H26">
        <v>-25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U26">
        <v>0</v>
      </c>
      <c r="V26">
        <v>0</v>
      </c>
      <c r="W26" s="103">
        <v>0</v>
      </c>
      <c r="X26">
        <v>0</v>
      </c>
      <c r="Y26">
        <v>0</v>
      </c>
      <c r="Z26" s="103">
        <v>0</v>
      </c>
    </row>
    <row r="27" spans="1:26">
      <c r="A27">
        <v>20080616</v>
      </c>
      <c r="B27">
        <v>8121</v>
      </c>
      <c r="C27">
        <v>8191</v>
      </c>
      <c r="D27">
        <v>8100</v>
      </c>
      <c r="E27">
        <v>8133</v>
      </c>
      <c r="F27">
        <v>50645</v>
      </c>
      <c r="G27">
        <v>78</v>
      </c>
      <c r="H27">
        <v>12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U27">
        <v>0</v>
      </c>
      <c r="V27">
        <v>0</v>
      </c>
      <c r="W27" s="103">
        <v>0</v>
      </c>
      <c r="X27">
        <v>0</v>
      </c>
      <c r="Y27">
        <v>0</v>
      </c>
      <c r="Z27" s="103">
        <v>0</v>
      </c>
    </row>
    <row r="28" spans="1:26">
      <c r="A28">
        <v>20080617</v>
      </c>
      <c r="B28">
        <v>8133</v>
      </c>
      <c r="C28">
        <v>8177</v>
      </c>
      <c r="D28">
        <v>8017</v>
      </c>
      <c r="E28">
        <v>8147</v>
      </c>
      <c r="F28">
        <v>62708</v>
      </c>
      <c r="G28">
        <v>0</v>
      </c>
      <c r="H28">
        <v>14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U28">
        <v>0</v>
      </c>
      <c r="V28">
        <v>0</v>
      </c>
      <c r="W28" s="103">
        <v>0</v>
      </c>
      <c r="X28">
        <v>0</v>
      </c>
      <c r="Y28">
        <v>0</v>
      </c>
      <c r="Z28" s="103">
        <v>0</v>
      </c>
    </row>
    <row r="29" spans="1:26">
      <c r="A29">
        <v>20080618</v>
      </c>
      <c r="B29">
        <v>8030</v>
      </c>
      <c r="C29">
        <v>8107</v>
      </c>
      <c r="D29">
        <v>8000</v>
      </c>
      <c r="E29">
        <v>8081</v>
      </c>
      <c r="F29">
        <v>34093</v>
      </c>
      <c r="G29">
        <v>-117</v>
      </c>
      <c r="H29">
        <v>51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U29">
        <v>0</v>
      </c>
      <c r="V29">
        <v>0</v>
      </c>
      <c r="W29" s="103">
        <v>0</v>
      </c>
      <c r="X29">
        <v>0</v>
      </c>
      <c r="Y29">
        <v>0</v>
      </c>
      <c r="Z29" s="103">
        <v>0</v>
      </c>
    </row>
    <row r="30" spans="1:26">
      <c r="A30">
        <v>20080619</v>
      </c>
      <c r="B30">
        <v>7980</v>
      </c>
      <c r="C30">
        <v>7980</v>
      </c>
      <c r="D30">
        <v>7886</v>
      </c>
      <c r="E30">
        <v>7890</v>
      </c>
      <c r="F30">
        <v>53288</v>
      </c>
      <c r="G30">
        <v>-101</v>
      </c>
      <c r="H30">
        <v>-90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U30">
        <v>0</v>
      </c>
      <c r="V30">
        <v>0</v>
      </c>
      <c r="W30" s="103">
        <v>0</v>
      </c>
      <c r="X30">
        <v>0</v>
      </c>
      <c r="Y30">
        <v>0</v>
      </c>
      <c r="Z30" s="103">
        <v>0</v>
      </c>
    </row>
    <row r="31" spans="1:26">
      <c r="A31">
        <v>20080620</v>
      </c>
      <c r="B31">
        <v>7910</v>
      </c>
      <c r="C31">
        <v>7937</v>
      </c>
      <c r="D31">
        <v>7723</v>
      </c>
      <c r="E31">
        <v>7778</v>
      </c>
      <c r="F31">
        <v>70541</v>
      </c>
      <c r="G31">
        <v>20</v>
      </c>
      <c r="H31">
        <v>-132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U31">
        <v>0</v>
      </c>
      <c r="V31">
        <v>0</v>
      </c>
      <c r="W31" s="103">
        <v>0</v>
      </c>
      <c r="X31">
        <v>0</v>
      </c>
      <c r="Y31">
        <v>0</v>
      </c>
      <c r="Z31" s="103">
        <v>0</v>
      </c>
    </row>
    <row r="32" spans="1:26">
      <c r="A32">
        <v>20080623</v>
      </c>
      <c r="B32">
        <v>7660</v>
      </c>
      <c r="C32">
        <v>7805</v>
      </c>
      <c r="D32">
        <v>7630</v>
      </c>
      <c r="E32">
        <v>7754</v>
      </c>
      <c r="F32">
        <v>63149</v>
      </c>
      <c r="G32">
        <v>-118</v>
      </c>
      <c r="H32">
        <v>94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U32">
        <v>0</v>
      </c>
      <c r="V32">
        <v>0</v>
      </c>
      <c r="W32" s="103">
        <v>0</v>
      </c>
      <c r="X32">
        <v>0</v>
      </c>
      <c r="Y32">
        <v>0</v>
      </c>
      <c r="Z32" s="103">
        <v>0</v>
      </c>
    </row>
    <row r="33" spans="1:26">
      <c r="A33">
        <v>20080624</v>
      </c>
      <c r="B33">
        <v>7715</v>
      </c>
      <c r="C33">
        <v>7782</v>
      </c>
      <c r="D33">
        <v>7645</v>
      </c>
      <c r="E33">
        <v>7693</v>
      </c>
      <c r="F33">
        <v>64046</v>
      </c>
      <c r="G33">
        <v>-39</v>
      </c>
      <c r="H33">
        <v>-22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U33">
        <v>0</v>
      </c>
      <c r="V33">
        <v>0</v>
      </c>
      <c r="W33" s="103">
        <v>0</v>
      </c>
      <c r="X33">
        <v>0</v>
      </c>
      <c r="Y33">
        <v>0</v>
      </c>
      <c r="Z33" s="103">
        <v>0</v>
      </c>
    </row>
    <row r="34" spans="1:26">
      <c r="A34">
        <v>20080625</v>
      </c>
      <c r="B34">
        <v>7671</v>
      </c>
      <c r="C34">
        <v>7759</v>
      </c>
      <c r="D34">
        <v>7605</v>
      </c>
      <c r="E34">
        <v>7753</v>
      </c>
      <c r="F34">
        <v>69317</v>
      </c>
      <c r="G34">
        <v>-22</v>
      </c>
      <c r="H34">
        <v>82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U34">
        <v>0</v>
      </c>
      <c r="V34">
        <v>0</v>
      </c>
      <c r="W34" s="103">
        <v>0</v>
      </c>
      <c r="X34">
        <v>0</v>
      </c>
      <c r="Y34">
        <v>0</v>
      </c>
      <c r="Z34" s="103">
        <v>0</v>
      </c>
    </row>
    <row r="35" spans="1:26">
      <c r="A35">
        <v>20080626</v>
      </c>
      <c r="B35">
        <v>7753</v>
      </c>
      <c r="C35">
        <v>7798</v>
      </c>
      <c r="D35">
        <v>7690</v>
      </c>
      <c r="E35">
        <v>7693</v>
      </c>
      <c r="F35">
        <v>60885</v>
      </c>
      <c r="G35">
        <v>0</v>
      </c>
      <c r="H35">
        <v>-60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U35">
        <v>0</v>
      </c>
      <c r="V35">
        <v>0</v>
      </c>
      <c r="W35" s="103">
        <v>0</v>
      </c>
      <c r="X35">
        <v>0</v>
      </c>
      <c r="Y35">
        <v>0</v>
      </c>
      <c r="Z35" s="103">
        <v>0</v>
      </c>
    </row>
    <row r="36" spans="1:26">
      <c r="A36">
        <v>20080627</v>
      </c>
      <c r="B36">
        <v>7381</v>
      </c>
      <c r="C36">
        <v>7460</v>
      </c>
      <c r="D36">
        <v>7341</v>
      </c>
      <c r="E36">
        <v>7416</v>
      </c>
      <c r="F36">
        <v>67430</v>
      </c>
      <c r="G36">
        <v>-312</v>
      </c>
      <c r="H36">
        <v>35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U36">
        <v>0</v>
      </c>
      <c r="V36">
        <v>0</v>
      </c>
      <c r="W36" s="103">
        <v>0</v>
      </c>
      <c r="X36">
        <v>0</v>
      </c>
      <c r="Y36">
        <v>0</v>
      </c>
      <c r="Z36" s="103">
        <v>0</v>
      </c>
    </row>
    <row r="37" spans="1:26">
      <c r="A37">
        <v>20080630</v>
      </c>
      <c r="B37">
        <v>7470</v>
      </c>
      <c r="C37">
        <v>7490</v>
      </c>
      <c r="D37">
        <v>7382</v>
      </c>
      <c r="E37">
        <v>7416</v>
      </c>
      <c r="F37">
        <v>51350</v>
      </c>
      <c r="G37">
        <v>54</v>
      </c>
      <c r="H37">
        <v>-54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U37">
        <v>0</v>
      </c>
      <c r="V37">
        <v>0</v>
      </c>
      <c r="W37" s="103">
        <v>0</v>
      </c>
      <c r="X37">
        <v>0</v>
      </c>
      <c r="Y37">
        <v>0</v>
      </c>
      <c r="Z37" s="103">
        <v>0</v>
      </c>
    </row>
    <row r="38" spans="1:26">
      <c r="A38">
        <v>20080701</v>
      </c>
      <c r="B38">
        <v>7410</v>
      </c>
      <c r="C38">
        <v>7477</v>
      </c>
      <c r="D38">
        <v>7291</v>
      </c>
      <c r="E38">
        <v>7291</v>
      </c>
      <c r="F38">
        <v>62859</v>
      </c>
      <c r="G38">
        <v>-6</v>
      </c>
      <c r="H38">
        <v>-119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U38">
        <v>0</v>
      </c>
      <c r="V38">
        <v>0</v>
      </c>
      <c r="W38" s="103">
        <v>0</v>
      </c>
      <c r="X38">
        <v>0</v>
      </c>
      <c r="Y38">
        <v>0</v>
      </c>
      <c r="Z38" s="103">
        <v>0</v>
      </c>
    </row>
    <row r="39" spans="1:26">
      <c r="A39">
        <v>20080702</v>
      </c>
      <c r="B39">
        <v>7308</v>
      </c>
      <c r="C39">
        <v>7394</v>
      </c>
      <c r="D39">
        <v>7245</v>
      </c>
      <c r="E39">
        <v>7245</v>
      </c>
      <c r="F39">
        <v>74191</v>
      </c>
      <c r="G39">
        <v>17</v>
      </c>
      <c r="H39">
        <v>-63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U39">
        <v>0</v>
      </c>
      <c r="V39">
        <v>0</v>
      </c>
      <c r="W39" s="103">
        <v>0</v>
      </c>
      <c r="X39">
        <v>0</v>
      </c>
      <c r="Y39">
        <v>0</v>
      </c>
      <c r="Z39" s="103">
        <v>0</v>
      </c>
    </row>
    <row r="40" spans="1:26">
      <c r="A40">
        <v>20080703</v>
      </c>
      <c r="B40">
        <v>7140</v>
      </c>
      <c r="C40">
        <v>7377</v>
      </c>
      <c r="D40">
        <v>7055</v>
      </c>
      <c r="E40">
        <v>7299</v>
      </c>
      <c r="F40">
        <v>88259</v>
      </c>
      <c r="G40">
        <v>-105</v>
      </c>
      <c r="H40">
        <v>159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U40">
        <v>0</v>
      </c>
      <c r="V40">
        <v>0</v>
      </c>
      <c r="W40" s="103">
        <v>0</v>
      </c>
      <c r="X40">
        <v>0</v>
      </c>
      <c r="Y40">
        <v>0</v>
      </c>
      <c r="Z40" s="103">
        <v>0</v>
      </c>
    </row>
    <row r="41" spans="1:26">
      <c r="A41">
        <v>20080704</v>
      </c>
      <c r="B41">
        <v>7282</v>
      </c>
      <c r="C41">
        <v>7323</v>
      </c>
      <c r="D41">
        <v>7099</v>
      </c>
      <c r="E41">
        <v>7100</v>
      </c>
      <c r="F41">
        <v>68335</v>
      </c>
      <c r="G41">
        <v>-17</v>
      </c>
      <c r="H41">
        <v>-182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U41">
        <v>0</v>
      </c>
      <c r="V41">
        <v>0</v>
      </c>
      <c r="W41" s="103">
        <v>0</v>
      </c>
      <c r="X41">
        <v>0</v>
      </c>
      <c r="Y41">
        <v>0</v>
      </c>
      <c r="Z41" s="103">
        <v>0</v>
      </c>
    </row>
    <row r="42" spans="1:26">
      <c r="A42">
        <v>20080707</v>
      </c>
      <c r="B42">
        <v>7096</v>
      </c>
      <c r="C42">
        <v>7279</v>
      </c>
      <c r="D42">
        <v>7075</v>
      </c>
      <c r="E42">
        <v>7258</v>
      </c>
      <c r="F42">
        <v>62177</v>
      </c>
      <c r="G42">
        <v>-4</v>
      </c>
      <c r="H42">
        <v>162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U42">
        <v>0</v>
      </c>
      <c r="V42">
        <v>0</v>
      </c>
      <c r="W42" s="103">
        <v>0</v>
      </c>
      <c r="X42">
        <v>0</v>
      </c>
      <c r="Y42">
        <v>0</v>
      </c>
      <c r="Z42" s="103">
        <v>0</v>
      </c>
    </row>
    <row r="43" spans="1:26">
      <c r="A43">
        <v>20080708</v>
      </c>
      <c r="B43">
        <v>7199</v>
      </c>
      <c r="C43">
        <v>7200</v>
      </c>
      <c r="D43">
        <v>6892</v>
      </c>
      <c r="E43">
        <v>6988</v>
      </c>
      <c r="F43">
        <v>86073</v>
      </c>
      <c r="G43">
        <v>-59</v>
      </c>
      <c r="H43">
        <v>-211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U43">
        <v>0</v>
      </c>
      <c r="V43">
        <v>0</v>
      </c>
      <c r="W43" s="103">
        <v>0</v>
      </c>
      <c r="X43">
        <v>0</v>
      </c>
      <c r="Y43">
        <v>0</v>
      </c>
      <c r="Z43" s="103">
        <v>0</v>
      </c>
    </row>
    <row r="44" spans="1:26">
      <c r="A44">
        <v>20080709</v>
      </c>
      <c r="B44">
        <v>7095</v>
      </c>
      <c r="C44">
        <v>7185</v>
      </c>
      <c r="D44">
        <v>6950</v>
      </c>
      <c r="E44">
        <v>7011</v>
      </c>
      <c r="F44">
        <v>95503</v>
      </c>
      <c r="G44">
        <v>107</v>
      </c>
      <c r="H44">
        <v>-84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U44">
        <v>1</v>
      </c>
      <c r="V44">
        <v>0</v>
      </c>
      <c r="W44" s="103">
        <v>0</v>
      </c>
      <c r="X44">
        <v>0</v>
      </c>
      <c r="Y44">
        <v>0</v>
      </c>
      <c r="Z44" s="103">
        <v>0</v>
      </c>
    </row>
    <row r="45" spans="1:26">
      <c r="A45">
        <v>20080710</v>
      </c>
      <c r="B45">
        <v>6958</v>
      </c>
      <c r="C45">
        <v>7116</v>
      </c>
      <c r="D45">
        <v>6893</v>
      </c>
      <c r="E45">
        <v>7010</v>
      </c>
      <c r="F45">
        <v>94064</v>
      </c>
      <c r="G45">
        <v>-53</v>
      </c>
      <c r="H45">
        <v>52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U45">
        <v>0</v>
      </c>
      <c r="V45">
        <v>0</v>
      </c>
      <c r="W45" s="103">
        <v>0</v>
      </c>
      <c r="X45">
        <v>0</v>
      </c>
      <c r="Y45">
        <v>0</v>
      </c>
      <c r="Z45" s="103">
        <v>0</v>
      </c>
    </row>
    <row r="46" spans="1:26">
      <c r="A46">
        <v>20080711</v>
      </c>
      <c r="B46">
        <v>6973</v>
      </c>
      <c r="C46">
        <v>7206</v>
      </c>
      <c r="D46">
        <v>6963</v>
      </c>
      <c r="E46">
        <v>7181</v>
      </c>
      <c r="F46">
        <v>97903</v>
      </c>
      <c r="G46">
        <v>-37</v>
      </c>
      <c r="H46">
        <v>208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U46">
        <v>1</v>
      </c>
      <c r="V46">
        <v>0</v>
      </c>
      <c r="W46" s="103">
        <v>0</v>
      </c>
      <c r="X46">
        <v>0</v>
      </c>
      <c r="Y46">
        <v>0</v>
      </c>
      <c r="Z46" s="103">
        <v>0</v>
      </c>
    </row>
    <row r="47" spans="1:26">
      <c r="A47">
        <v>20080714</v>
      </c>
      <c r="B47">
        <v>7200</v>
      </c>
      <c r="C47">
        <v>7238</v>
      </c>
      <c r="D47">
        <v>7088</v>
      </c>
      <c r="E47">
        <v>7152</v>
      </c>
      <c r="F47">
        <v>74123</v>
      </c>
      <c r="G47">
        <v>19</v>
      </c>
      <c r="H47">
        <v>-48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U47">
        <v>0</v>
      </c>
      <c r="V47">
        <v>0</v>
      </c>
      <c r="W47" s="103">
        <v>0</v>
      </c>
      <c r="X47">
        <v>0</v>
      </c>
      <c r="Y47">
        <v>0</v>
      </c>
      <c r="Z47" s="103">
        <v>0</v>
      </c>
    </row>
    <row r="48" spans="1:26">
      <c r="A48">
        <v>20080715</v>
      </c>
      <c r="B48">
        <v>7050</v>
      </c>
      <c r="C48">
        <v>7065</v>
      </c>
      <c r="D48">
        <v>6744</v>
      </c>
      <c r="E48">
        <v>6790</v>
      </c>
      <c r="F48">
        <v>89664</v>
      </c>
      <c r="G48">
        <v>-102</v>
      </c>
      <c r="H48">
        <v>-260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U48">
        <v>0</v>
      </c>
      <c r="V48">
        <v>0</v>
      </c>
      <c r="W48" s="103">
        <v>0</v>
      </c>
      <c r="X48">
        <v>0</v>
      </c>
      <c r="Y48">
        <v>0</v>
      </c>
      <c r="Z48" s="103">
        <v>0</v>
      </c>
    </row>
    <row r="49" spans="1:26">
      <c r="A49">
        <v>20080716</v>
      </c>
      <c r="B49">
        <v>6712</v>
      </c>
      <c r="C49">
        <v>6725</v>
      </c>
      <c r="D49">
        <v>6532</v>
      </c>
      <c r="E49">
        <v>6541</v>
      </c>
      <c r="F49">
        <v>50918</v>
      </c>
      <c r="G49">
        <v>-78</v>
      </c>
      <c r="H49">
        <v>-171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U49">
        <v>0</v>
      </c>
      <c r="V49">
        <v>0</v>
      </c>
      <c r="W49" s="103">
        <v>0</v>
      </c>
      <c r="X49">
        <v>0</v>
      </c>
      <c r="Y49">
        <v>0</v>
      </c>
      <c r="Z49" s="103">
        <v>0</v>
      </c>
    </row>
    <row r="50" spans="1:26">
      <c r="A50">
        <v>20080717</v>
      </c>
      <c r="B50">
        <v>6700</v>
      </c>
      <c r="C50">
        <v>6848</v>
      </c>
      <c r="D50">
        <v>6689</v>
      </c>
      <c r="E50">
        <v>6797</v>
      </c>
      <c r="F50">
        <v>74675</v>
      </c>
      <c r="G50">
        <v>159</v>
      </c>
      <c r="H50">
        <v>97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U50">
        <v>1</v>
      </c>
      <c r="V50">
        <v>0</v>
      </c>
      <c r="W50" s="103">
        <v>0</v>
      </c>
      <c r="X50">
        <v>0</v>
      </c>
      <c r="Y50">
        <v>0</v>
      </c>
      <c r="Z50" s="103">
        <v>0</v>
      </c>
    </row>
    <row r="51" spans="1:26">
      <c r="A51">
        <v>20080718</v>
      </c>
      <c r="B51">
        <v>6860</v>
      </c>
      <c r="C51">
        <v>6888</v>
      </c>
      <c r="D51">
        <v>6599</v>
      </c>
      <c r="E51">
        <v>6681</v>
      </c>
      <c r="F51">
        <v>87374</v>
      </c>
      <c r="G51">
        <v>63</v>
      </c>
      <c r="H51">
        <v>-179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U51">
        <v>0</v>
      </c>
      <c r="V51">
        <v>0</v>
      </c>
      <c r="W51" s="103">
        <v>0</v>
      </c>
      <c r="X51">
        <v>0</v>
      </c>
      <c r="Y51">
        <v>0</v>
      </c>
      <c r="Z51" s="103">
        <v>0</v>
      </c>
    </row>
    <row r="52" spans="1:26">
      <c r="A52">
        <v>20080721</v>
      </c>
      <c r="B52">
        <v>6845</v>
      </c>
      <c r="C52">
        <v>7020</v>
      </c>
      <c r="D52">
        <v>6840</v>
      </c>
      <c r="E52">
        <v>7007</v>
      </c>
      <c r="F52">
        <v>71688</v>
      </c>
      <c r="G52">
        <v>164</v>
      </c>
      <c r="H52">
        <v>162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U52">
        <v>1</v>
      </c>
      <c r="V52">
        <v>0.4</v>
      </c>
      <c r="W52" s="103">
        <v>0</v>
      </c>
      <c r="X52">
        <v>6894.875</v>
      </c>
      <c r="Y52">
        <v>7166.1</v>
      </c>
      <c r="Z52" s="103">
        <v>0</v>
      </c>
    </row>
    <row r="53" spans="1:26">
      <c r="A53">
        <v>20080722</v>
      </c>
      <c r="B53">
        <v>6943</v>
      </c>
      <c r="C53">
        <v>7010</v>
      </c>
      <c r="D53">
        <v>6886</v>
      </c>
      <c r="E53">
        <v>6967</v>
      </c>
      <c r="F53">
        <v>75340</v>
      </c>
      <c r="G53">
        <v>-64</v>
      </c>
      <c r="H53">
        <v>24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U53">
        <v>0</v>
      </c>
      <c r="V53">
        <v>0.4</v>
      </c>
      <c r="W53" s="103">
        <v>0</v>
      </c>
      <c r="X53">
        <v>6889.5</v>
      </c>
      <c r="Y53">
        <v>7129.8</v>
      </c>
      <c r="Z53" s="103">
        <v>0</v>
      </c>
    </row>
    <row r="54" spans="1:26">
      <c r="A54">
        <v>20080723</v>
      </c>
      <c r="B54">
        <v>7100</v>
      </c>
      <c r="C54">
        <v>7250</v>
      </c>
      <c r="D54">
        <v>7075</v>
      </c>
      <c r="E54">
        <v>7186</v>
      </c>
      <c r="F54">
        <v>80107</v>
      </c>
      <c r="G54">
        <v>133</v>
      </c>
      <c r="H54">
        <v>86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U54">
        <v>1</v>
      </c>
      <c r="V54">
        <v>0.4</v>
      </c>
      <c r="W54" s="103">
        <v>0</v>
      </c>
      <c r="X54">
        <v>6890.125</v>
      </c>
      <c r="Y54">
        <v>7101.45</v>
      </c>
      <c r="Z54" s="103">
        <v>0</v>
      </c>
    </row>
    <row r="55" spans="1:26">
      <c r="A55">
        <v>20080724</v>
      </c>
      <c r="B55">
        <v>7262</v>
      </c>
      <c r="C55">
        <v>7306</v>
      </c>
      <c r="D55">
        <v>7208</v>
      </c>
      <c r="E55">
        <v>7304</v>
      </c>
      <c r="F55">
        <v>64280</v>
      </c>
      <c r="G55">
        <v>76</v>
      </c>
      <c r="H55">
        <v>42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U55">
        <v>1</v>
      </c>
      <c r="V55">
        <v>0.5</v>
      </c>
      <c r="W55" s="103">
        <v>0</v>
      </c>
      <c r="X55">
        <v>6909.125</v>
      </c>
      <c r="Y55">
        <v>7082</v>
      </c>
      <c r="Z55" s="103">
        <v>0</v>
      </c>
    </row>
    <row r="56" spans="1:26">
      <c r="A56">
        <v>20080725</v>
      </c>
      <c r="B56">
        <v>7188</v>
      </c>
      <c r="C56">
        <v>7190</v>
      </c>
      <c r="D56">
        <v>7082</v>
      </c>
      <c r="E56">
        <v>7170</v>
      </c>
      <c r="F56">
        <v>62125</v>
      </c>
      <c r="G56">
        <v>-116</v>
      </c>
      <c r="H56">
        <v>-18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U56">
        <v>0</v>
      </c>
      <c r="V56">
        <v>0.4</v>
      </c>
      <c r="W56" s="103">
        <v>0</v>
      </c>
      <c r="X56">
        <v>6956.625</v>
      </c>
      <c r="Y56">
        <v>7069.7</v>
      </c>
      <c r="Z56" s="103">
        <v>0</v>
      </c>
    </row>
    <row r="57" spans="1:26">
      <c r="A57">
        <v>20080729</v>
      </c>
      <c r="B57">
        <v>6950</v>
      </c>
      <c r="C57">
        <v>6980</v>
      </c>
      <c r="D57">
        <v>6866</v>
      </c>
      <c r="E57">
        <v>6916</v>
      </c>
      <c r="F57">
        <v>57587</v>
      </c>
      <c r="G57">
        <v>-220</v>
      </c>
      <c r="H57">
        <v>-34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U57">
        <v>0</v>
      </c>
      <c r="V57">
        <v>0.4</v>
      </c>
      <c r="W57" s="103">
        <v>0</v>
      </c>
      <c r="X57">
        <v>7003.5</v>
      </c>
      <c r="Y57">
        <v>7044.7</v>
      </c>
      <c r="Z57" s="103">
        <v>0</v>
      </c>
    </row>
    <row r="58" spans="1:26">
      <c r="A58">
        <v>20080730</v>
      </c>
      <c r="B58">
        <v>7070</v>
      </c>
      <c r="C58">
        <v>7085</v>
      </c>
      <c r="D58">
        <v>6966</v>
      </c>
      <c r="E58">
        <v>7022</v>
      </c>
      <c r="F58">
        <v>66830</v>
      </c>
      <c r="G58">
        <v>154</v>
      </c>
      <c r="H58">
        <v>-48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U58">
        <v>1</v>
      </c>
      <c r="V58">
        <v>0.5</v>
      </c>
      <c r="W58" s="103">
        <v>0</v>
      </c>
      <c r="X58">
        <v>7031.625</v>
      </c>
      <c r="Y58">
        <v>7031.25</v>
      </c>
      <c r="Z58" s="103">
        <v>1</v>
      </c>
    </row>
    <row r="59" spans="1:26">
      <c r="A59">
        <v>20080731</v>
      </c>
      <c r="B59">
        <v>7098</v>
      </c>
      <c r="C59">
        <v>7147</v>
      </c>
      <c r="D59">
        <v>6890</v>
      </c>
      <c r="E59">
        <v>6998</v>
      </c>
      <c r="F59">
        <v>84650</v>
      </c>
      <c r="G59">
        <v>76</v>
      </c>
      <c r="H59">
        <v>-100</v>
      </c>
      <c r="I59">
        <v>0</v>
      </c>
      <c r="J59">
        <v>1</v>
      </c>
      <c r="K59">
        <v>-100</v>
      </c>
      <c r="L59">
        <v>-100</v>
      </c>
      <c r="M59">
        <v>0</v>
      </c>
      <c r="N59">
        <v>7027.0199999999995</v>
      </c>
      <c r="O59">
        <v>7310.9400000000005</v>
      </c>
      <c r="U59">
        <v>0</v>
      </c>
      <c r="V59">
        <v>0.5</v>
      </c>
      <c r="W59" s="103">
        <v>0</v>
      </c>
      <c r="X59">
        <v>7071.25</v>
      </c>
      <c r="Y59">
        <v>7018.9</v>
      </c>
      <c r="Z59" s="103">
        <v>0</v>
      </c>
    </row>
    <row r="60" spans="1:26">
      <c r="A60">
        <v>20080801</v>
      </c>
      <c r="B60">
        <v>6901</v>
      </c>
      <c r="C60">
        <v>6969</v>
      </c>
      <c r="D60">
        <v>6851</v>
      </c>
      <c r="E60">
        <v>6914</v>
      </c>
      <c r="F60">
        <v>66371</v>
      </c>
      <c r="G60">
        <v>-97</v>
      </c>
      <c r="H60">
        <v>13</v>
      </c>
      <c r="I60">
        <v>-1</v>
      </c>
      <c r="J60">
        <v>1</v>
      </c>
      <c r="K60">
        <v>-84</v>
      </c>
      <c r="L60">
        <v>-184</v>
      </c>
      <c r="M60">
        <v>1</v>
      </c>
      <c r="N60">
        <v>0</v>
      </c>
      <c r="O60">
        <v>0</v>
      </c>
      <c r="U60">
        <v>0</v>
      </c>
      <c r="V60">
        <v>0.4</v>
      </c>
      <c r="W60" s="103">
        <v>0</v>
      </c>
      <c r="X60">
        <v>7059.625</v>
      </c>
      <c r="Y60">
        <v>6999.65</v>
      </c>
      <c r="Z60" s="103">
        <v>0</v>
      </c>
    </row>
    <row r="61" spans="1:26">
      <c r="A61">
        <v>20080804</v>
      </c>
      <c r="B61">
        <v>6852</v>
      </c>
      <c r="C61">
        <v>6964</v>
      </c>
      <c r="D61">
        <v>6850</v>
      </c>
      <c r="E61">
        <v>6934</v>
      </c>
      <c r="F61">
        <v>53142</v>
      </c>
      <c r="G61">
        <v>-62</v>
      </c>
      <c r="H61">
        <v>82</v>
      </c>
      <c r="I61">
        <v>0</v>
      </c>
      <c r="J61">
        <v>0</v>
      </c>
      <c r="K61">
        <v>-62</v>
      </c>
      <c r="L61">
        <v>-246</v>
      </c>
      <c r="M61">
        <v>0</v>
      </c>
      <c r="N61">
        <v>0</v>
      </c>
      <c r="O61">
        <v>0</v>
      </c>
      <c r="U61">
        <v>1</v>
      </c>
      <c r="V61">
        <v>0.5</v>
      </c>
      <c r="W61" s="103">
        <v>0</v>
      </c>
      <c r="X61">
        <v>7055.5</v>
      </c>
      <c r="Y61">
        <v>6991.35</v>
      </c>
      <c r="Z61" s="103">
        <v>0</v>
      </c>
    </row>
    <row r="62" spans="1:26">
      <c r="A62">
        <v>20080805</v>
      </c>
      <c r="B62">
        <v>6973</v>
      </c>
      <c r="C62">
        <v>6993</v>
      </c>
      <c r="D62">
        <v>6756</v>
      </c>
      <c r="E62">
        <v>6778</v>
      </c>
      <c r="F62">
        <v>81580</v>
      </c>
      <c r="G62">
        <v>39</v>
      </c>
      <c r="H62">
        <v>-195</v>
      </c>
      <c r="I62">
        <v>0</v>
      </c>
      <c r="J62">
        <v>0</v>
      </c>
      <c r="K62">
        <v>0</v>
      </c>
      <c r="L62">
        <v>-246</v>
      </c>
      <c r="M62">
        <v>0</v>
      </c>
      <c r="N62">
        <v>0</v>
      </c>
      <c r="O62">
        <v>0</v>
      </c>
      <c r="U62">
        <v>0</v>
      </c>
      <c r="V62">
        <v>0.4</v>
      </c>
      <c r="W62" s="103">
        <v>0</v>
      </c>
      <c r="X62">
        <v>7004.5</v>
      </c>
      <c r="Y62">
        <v>6967.35</v>
      </c>
      <c r="Z62" s="103">
        <v>0</v>
      </c>
    </row>
    <row r="63" spans="1:26">
      <c r="A63">
        <v>20080806</v>
      </c>
      <c r="B63">
        <v>6970</v>
      </c>
      <c r="C63">
        <v>7030</v>
      </c>
      <c r="D63">
        <v>6910</v>
      </c>
      <c r="E63">
        <v>7017</v>
      </c>
      <c r="F63">
        <v>63636</v>
      </c>
      <c r="G63">
        <v>192</v>
      </c>
      <c r="H63">
        <v>47</v>
      </c>
      <c r="I63">
        <v>-1</v>
      </c>
      <c r="J63">
        <v>0</v>
      </c>
      <c r="K63">
        <v>0</v>
      </c>
      <c r="L63">
        <v>-246</v>
      </c>
      <c r="M63">
        <v>0</v>
      </c>
      <c r="N63">
        <v>0</v>
      </c>
      <c r="O63">
        <v>0</v>
      </c>
      <c r="U63">
        <v>1</v>
      </c>
      <c r="V63">
        <v>0.5</v>
      </c>
      <c r="W63" s="103">
        <v>0</v>
      </c>
      <c r="X63">
        <v>6968.625</v>
      </c>
      <c r="Y63">
        <v>6968.8</v>
      </c>
      <c r="Z63" s="103">
        <v>-1</v>
      </c>
    </row>
    <row r="64" spans="1:26">
      <c r="A64">
        <v>20080807</v>
      </c>
      <c r="B64">
        <v>7002</v>
      </c>
      <c r="C64">
        <v>7055</v>
      </c>
      <c r="D64">
        <v>6960</v>
      </c>
      <c r="E64">
        <v>7006</v>
      </c>
      <c r="F64">
        <v>64790</v>
      </c>
      <c r="G64">
        <v>-15</v>
      </c>
      <c r="H64">
        <v>4</v>
      </c>
      <c r="I64">
        <v>0</v>
      </c>
      <c r="J64">
        <v>-1</v>
      </c>
      <c r="K64">
        <v>-4</v>
      </c>
      <c r="L64">
        <v>-250</v>
      </c>
      <c r="M64">
        <v>0</v>
      </c>
      <c r="N64">
        <v>7072.02</v>
      </c>
      <c r="O64">
        <v>6791.94</v>
      </c>
      <c r="U64">
        <v>0</v>
      </c>
      <c r="V64">
        <v>0.4</v>
      </c>
      <c r="W64" s="103">
        <v>0</v>
      </c>
      <c r="X64">
        <v>6948.125</v>
      </c>
      <c r="Y64">
        <v>6968.55</v>
      </c>
      <c r="Z64" s="103">
        <v>0</v>
      </c>
    </row>
    <row r="65" spans="1:26">
      <c r="A65">
        <v>20080808</v>
      </c>
      <c r="B65">
        <v>6941</v>
      </c>
      <c r="C65">
        <v>7234</v>
      </c>
      <c r="D65">
        <v>6936</v>
      </c>
      <c r="E65">
        <v>7189</v>
      </c>
      <c r="F65">
        <v>87490</v>
      </c>
      <c r="G65">
        <v>-65</v>
      </c>
      <c r="H65">
        <v>248</v>
      </c>
      <c r="I65">
        <v>1</v>
      </c>
      <c r="J65">
        <v>-1</v>
      </c>
      <c r="K65">
        <v>-183</v>
      </c>
      <c r="L65">
        <v>-433</v>
      </c>
      <c r="M65">
        <v>0</v>
      </c>
      <c r="N65">
        <v>0</v>
      </c>
      <c r="O65">
        <v>0</v>
      </c>
      <c r="U65">
        <v>1</v>
      </c>
      <c r="V65">
        <v>0.4</v>
      </c>
      <c r="W65" s="103">
        <v>0</v>
      </c>
      <c r="X65">
        <v>6982.25</v>
      </c>
      <c r="Y65">
        <v>6977.5</v>
      </c>
      <c r="Z65" s="103">
        <v>1</v>
      </c>
    </row>
    <row r="66" spans="1:26">
      <c r="A66">
        <v>20080811</v>
      </c>
      <c r="B66">
        <v>7268</v>
      </c>
      <c r="C66">
        <v>7339</v>
      </c>
      <c r="D66">
        <v>7250</v>
      </c>
      <c r="E66">
        <v>7289</v>
      </c>
      <c r="F66">
        <v>59555</v>
      </c>
      <c r="G66">
        <v>79</v>
      </c>
      <c r="H66">
        <v>21</v>
      </c>
      <c r="I66">
        <v>0</v>
      </c>
      <c r="J66">
        <v>0</v>
      </c>
      <c r="K66">
        <v>-79</v>
      </c>
      <c r="L66">
        <v>-512</v>
      </c>
      <c r="M66">
        <v>0</v>
      </c>
      <c r="N66">
        <v>0</v>
      </c>
      <c r="O66">
        <v>0</v>
      </c>
      <c r="U66">
        <v>1</v>
      </c>
      <c r="V66">
        <v>0.5</v>
      </c>
      <c r="W66" s="103">
        <v>0</v>
      </c>
      <c r="X66">
        <v>7015.625</v>
      </c>
      <c r="Y66">
        <v>6982.9</v>
      </c>
      <c r="Z66" s="103">
        <v>0</v>
      </c>
    </row>
    <row r="67" spans="1:26">
      <c r="A67">
        <v>20080812</v>
      </c>
      <c r="B67">
        <v>7288</v>
      </c>
      <c r="C67">
        <v>7333</v>
      </c>
      <c r="D67">
        <v>7255</v>
      </c>
      <c r="E67">
        <v>7270</v>
      </c>
      <c r="F67">
        <v>56263</v>
      </c>
      <c r="G67">
        <v>-1</v>
      </c>
      <c r="H67">
        <v>-18</v>
      </c>
      <c r="I67">
        <v>0</v>
      </c>
      <c r="J67">
        <v>0</v>
      </c>
      <c r="K67">
        <v>0</v>
      </c>
      <c r="L67">
        <v>-512</v>
      </c>
      <c r="M67">
        <v>0</v>
      </c>
      <c r="N67">
        <v>0</v>
      </c>
      <c r="O67">
        <v>0</v>
      </c>
      <c r="U67">
        <v>0</v>
      </c>
      <c r="V67">
        <v>0.5</v>
      </c>
      <c r="W67" s="103">
        <v>0</v>
      </c>
      <c r="X67">
        <v>7049.625</v>
      </c>
      <c r="Y67">
        <v>6988.8</v>
      </c>
      <c r="Z67" s="103">
        <v>0</v>
      </c>
    </row>
    <row r="68" spans="1:26">
      <c r="A68">
        <v>20080813</v>
      </c>
      <c r="B68">
        <v>7258</v>
      </c>
      <c r="C68">
        <v>7308</v>
      </c>
      <c r="D68">
        <v>7190</v>
      </c>
      <c r="E68">
        <v>7299</v>
      </c>
      <c r="F68">
        <v>73840</v>
      </c>
      <c r="G68">
        <v>-12</v>
      </c>
      <c r="H68">
        <v>41</v>
      </c>
      <c r="I68">
        <v>0</v>
      </c>
      <c r="J68">
        <v>0</v>
      </c>
      <c r="K68">
        <v>0</v>
      </c>
      <c r="L68">
        <v>-512</v>
      </c>
      <c r="M68">
        <v>0</v>
      </c>
      <c r="N68">
        <v>0</v>
      </c>
      <c r="O68">
        <v>0</v>
      </c>
      <c r="U68">
        <v>1</v>
      </c>
      <c r="V68">
        <v>0.5</v>
      </c>
      <c r="W68" s="103">
        <v>0</v>
      </c>
      <c r="X68">
        <v>7097.75</v>
      </c>
      <c r="Y68">
        <v>7014.25</v>
      </c>
      <c r="Z68" s="103">
        <v>0</v>
      </c>
    </row>
    <row r="69" spans="1:26">
      <c r="A69">
        <v>20080814</v>
      </c>
      <c r="B69">
        <v>7280</v>
      </c>
      <c r="C69">
        <v>7364</v>
      </c>
      <c r="D69">
        <v>7230</v>
      </c>
      <c r="E69">
        <v>7363</v>
      </c>
      <c r="F69">
        <v>64327</v>
      </c>
      <c r="G69">
        <v>-19</v>
      </c>
      <c r="H69">
        <v>83</v>
      </c>
      <c r="I69">
        <v>-1</v>
      </c>
      <c r="J69">
        <v>0</v>
      </c>
      <c r="K69">
        <v>0</v>
      </c>
      <c r="L69">
        <v>-512</v>
      </c>
      <c r="M69">
        <v>0</v>
      </c>
      <c r="N69">
        <v>0</v>
      </c>
      <c r="O69">
        <v>0</v>
      </c>
      <c r="U69">
        <v>1</v>
      </c>
      <c r="V69">
        <v>0.6</v>
      </c>
      <c r="W69" s="103">
        <v>-1</v>
      </c>
      <c r="X69">
        <v>7151.375</v>
      </c>
      <c r="Y69">
        <v>7055.35</v>
      </c>
      <c r="Z69" s="103">
        <v>0</v>
      </c>
    </row>
    <row r="70" spans="1:26">
      <c r="A70">
        <v>20080815</v>
      </c>
      <c r="B70">
        <v>7362</v>
      </c>
      <c r="C70">
        <v>7382</v>
      </c>
      <c r="D70">
        <v>7155</v>
      </c>
      <c r="E70">
        <v>7216</v>
      </c>
      <c r="F70">
        <v>73450</v>
      </c>
      <c r="G70">
        <v>-1</v>
      </c>
      <c r="H70">
        <v>-146</v>
      </c>
      <c r="I70">
        <v>-1</v>
      </c>
      <c r="J70">
        <v>-1</v>
      </c>
      <c r="K70">
        <v>146</v>
      </c>
      <c r="L70">
        <v>-366</v>
      </c>
      <c r="M70">
        <v>0</v>
      </c>
      <c r="N70">
        <v>7435.62</v>
      </c>
      <c r="O70">
        <v>7141.1399999999994</v>
      </c>
      <c r="U70">
        <v>0</v>
      </c>
      <c r="V70">
        <v>0.6</v>
      </c>
      <c r="W70" s="103">
        <v>-1</v>
      </c>
      <c r="X70">
        <v>7206.125</v>
      </c>
      <c r="Y70">
        <v>7076.3</v>
      </c>
      <c r="Z70" s="103">
        <v>0</v>
      </c>
    </row>
    <row r="71" spans="1:26">
      <c r="A71">
        <v>20080818</v>
      </c>
      <c r="B71">
        <v>7180</v>
      </c>
      <c r="C71">
        <v>7222</v>
      </c>
      <c r="D71">
        <v>6956</v>
      </c>
      <c r="E71">
        <v>6980</v>
      </c>
      <c r="F71">
        <v>76947</v>
      </c>
      <c r="G71">
        <v>-36</v>
      </c>
      <c r="H71">
        <v>-200</v>
      </c>
      <c r="I71">
        <v>0</v>
      </c>
      <c r="J71">
        <v>-1</v>
      </c>
      <c r="K71">
        <v>236</v>
      </c>
      <c r="L71">
        <v>-130</v>
      </c>
      <c r="M71">
        <v>0</v>
      </c>
      <c r="N71">
        <v>0</v>
      </c>
      <c r="O71">
        <v>0</v>
      </c>
      <c r="U71">
        <v>0</v>
      </c>
      <c r="V71">
        <v>0.5</v>
      </c>
      <c r="W71" s="103">
        <v>0</v>
      </c>
      <c r="X71">
        <v>7201.5</v>
      </c>
      <c r="Y71">
        <v>7091.25</v>
      </c>
      <c r="Z71" s="103">
        <v>0</v>
      </c>
    </row>
    <row r="72" spans="1:26">
      <c r="A72">
        <v>20080819</v>
      </c>
      <c r="B72">
        <v>6856</v>
      </c>
      <c r="C72">
        <v>6978</v>
      </c>
      <c r="D72">
        <v>6813</v>
      </c>
      <c r="E72">
        <v>6936</v>
      </c>
      <c r="F72">
        <v>70745</v>
      </c>
      <c r="G72">
        <v>-124</v>
      </c>
      <c r="H72">
        <v>80</v>
      </c>
      <c r="I72">
        <v>1</v>
      </c>
      <c r="J72">
        <v>-1</v>
      </c>
      <c r="K72">
        <v>44</v>
      </c>
      <c r="L72">
        <v>-86</v>
      </c>
      <c r="M72">
        <v>4</v>
      </c>
      <c r="N72">
        <v>0</v>
      </c>
      <c r="O72">
        <v>0</v>
      </c>
      <c r="U72">
        <v>0</v>
      </c>
      <c r="V72">
        <v>0.5</v>
      </c>
      <c r="W72" s="103">
        <v>0</v>
      </c>
      <c r="X72">
        <v>7192.75</v>
      </c>
      <c r="Y72">
        <v>7087.7</v>
      </c>
      <c r="Z72" s="103">
        <v>0</v>
      </c>
    </row>
    <row r="73" spans="1:26">
      <c r="A73">
        <v>20080820</v>
      </c>
      <c r="B73">
        <v>6891</v>
      </c>
      <c r="C73">
        <v>6994</v>
      </c>
      <c r="D73">
        <v>6825</v>
      </c>
      <c r="E73">
        <v>6979</v>
      </c>
      <c r="F73">
        <v>44632</v>
      </c>
      <c r="G73">
        <v>-45</v>
      </c>
      <c r="H73">
        <v>88</v>
      </c>
      <c r="I73">
        <v>0</v>
      </c>
      <c r="J73">
        <v>0</v>
      </c>
      <c r="K73">
        <v>45</v>
      </c>
      <c r="L73">
        <v>-41</v>
      </c>
      <c r="M73">
        <v>0</v>
      </c>
      <c r="N73">
        <v>0</v>
      </c>
      <c r="O73">
        <v>0</v>
      </c>
      <c r="U73">
        <v>1</v>
      </c>
      <c r="V73">
        <v>0.5</v>
      </c>
      <c r="W73" s="103">
        <v>0</v>
      </c>
      <c r="X73">
        <v>7166.5</v>
      </c>
      <c r="Y73">
        <v>7088.3</v>
      </c>
      <c r="Z73" s="103">
        <v>0</v>
      </c>
    </row>
    <row r="74" spans="1:26">
      <c r="A74">
        <v>20080821</v>
      </c>
      <c r="B74">
        <v>6938</v>
      </c>
      <c r="C74">
        <v>6958</v>
      </c>
      <c r="D74">
        <v>6855</v>
      </c>
      <c r="E74">
        <v>6878</v>
      </c>
      <c r="F74">
        <v>62072</v>
      </c>
      <c r="G74">
        <v>-41</v>
      </c>
      <c r="H74">
        <v>-60</v>
      </c>
      <c r="I74">
        <v>0</v>
      </c>
      <c r="J74">
        <v>0</v>
      </c>
      <c r="K74">
        <v>0</v>
      </c>
      <c r="L74">
        <v>-41</v>
      </c>
      <c r="M74">
        <v>0</v>
      </c>
      <c r="N74">
        <v>0</v>
      </c>
      <c r="O74">
        <v>0</v>
      </c>
      <c r="U74">
        <v>0</v>
      </c>
      <c r="V74">
        <v>0.5</v>
      </c>
      <c r="W74" s="103">
        <v>0</v>
      </c>
      <c r="X74">
        <v>7115.125</v>
      </c>
      <c r="Y74">
        <v>7072.9</v>
      </c>
      <c r="Z74" s="103">
        <v>0</v>
      </c>
    </row>
    <row r="75" spans="1:26">
      <c r="A75">
        <v>20080822</v>
      </c>
      <c r="B75">
        <v>6845</v>
      </c>
      <c r="C75">
        <v>6975</v>
      </c>
      <c r="D75">
        <v>6766</v>
      </c>
      <c r="E75">
        <v>6865</v>
      </c>
      <c r="F75">
        <v>85586</v>
      </c>
      <c r="G75">
        <v>-33</v>
      </c>
      <c r="H75">
        <v>20</v>
      </c>
      <c r="I75">
        <v>0</v>
      </c>
      <c r="J75">
        <v>0</v>
      </c>
      <c r="K75">
        <v>0</v>
      </c>
      <c r="L75">
        <v>-41</v>
      </c>
      <c r="M75">
        <v>0</v>
      </c>
      <c r="N75">
        <v>0</v>
      </c>
      <c r="O75">
        <v>0</v>
      </c>
      <c r="U75">
        <v>0</v>
      </c>
      <c r="V75">
        <v>0.4</v>
      </c>
      <c r="W75" s="103">
        <v>0</v>
      </c>
      <c r="X75">
        <v>7064.5</v>
      </c>
      <c r="Y75">
        <v>7050.95</v>
      </c>
      <c r="Z75" s="103">
        <v>0</v>
      </c>
    </row>
    <row r="76" spans="1:26">
      <c r="A76">
        <v>20080825</v>
      </c>
      <c r="B76">
        <v>6956</v>
      </c>
      <c r="C76">
        <v>7037</v>
      </c>
      <c r="D76">
        <v>6896</v>
      </c>
      <c r="E76">
        <v>6988</v>
      </c>
      <c r="F76">
        <v>58897</v>
      </c>
      <c r="G76">
        <v>91</v>
      </c>
      <c r="H76">
        <v>32</v>
      </c>
      <c r="I76">
        <v>-1</v>
      </c>
      <c r="J76">
        <v>0</v>
      </c>
      <c r="K76">
        <v>0</v>
      </c>
      <c r="L76">
        <v>-41</v>
      </c>
      <c r="M76">
        <v>0</v>
      </c>
      <c r="N76">
        <v>0</v>
      </c>
      <c r="O76">
        <v>0</v>
      </c>
      <c r="U76">
        <v>1</v>
      </c>
      <c r="V76">
        <v>0.4</v>
      </c>
      <c r="W76" s="103">
        <v>0</v>
      </c>
      <c r="X76">
        <v>7025.625</v>
      </c>
      <c r="Y76">
        <v>7041.85</v>
      </c>
      <c r="Z76" s="103">
        <v>-1</v>
      </c>
    </row>
    <row r="77" spans="1:26">
      <c r="A77">
        <v>20080826</v>
      </c>
      <c r="B77">
        <v>6909</v>
      </c>
      <c r="C77">
        <v>6962</v>
      </c>
      <c r="D77">
        <v>6885</v>
      </c>
      <c r="E77">
        <v>6946</v>
      </c>
      <c r="F77">
        <v>47757</v>
      </c>
      <c r="G77">
        <v>-79</v>
      </c>
      <c r="H77">
        <v>37</v>
      </c>
      <c r="I77">
        <v>0</v>
      </c>
      <c r="J77">
        <v>-1</v>
      </c>
      <c r="K77">
        <v>-37</v>
      </c>
      <c r="L77">
        <v>-78</v>
      </c>
      <c r="M77">
        <v>0</v>
      </c>
      <c r="N77">
        <v>6978.09</v>
      </c>
      <c r="O77">
        <v>6701.73</v>
      </c>
      <c r="U77">
        <v>0</v>
      </c>
      <c r="V77">
        <v>0.4</v>
      </c>
      <c r="W77" s="103">
        <v>0</v>
      </c>
      <c r="X77">
        <v>6973.5</v>
      </c>
      <c r="Y77">
        <v>7043.35</v>
      </c>
      <c r="Z77" s="103">
        <v>0</v>
      </c>
    </row>
    <row r="78" spans="1:26">
      <c r="A78">
        <v>20080827</v>
      </c>
      <c r="B78">
        <v>6929</v>
      </c>
      <c r="C78">
        <v>7120</v>
      </c>
      <c r="D78">
        <v>6897</v>
      </c>
      <c r="E78">
        <v>7082</v>
      </c>
      <c r="F78">
        <v>65941</v>
      </c>
      <c r="G78">
        <v>-17</v>
      </c>
      <c r="H78">
        <v>153</v>
      </c>
      <c r="I78">
        <v>0</v>
      </c>
      <c r="J78">
        <v>-1</v>
      </c>
      <c r="K78">
        <v>-136</v>
      </c>
      <c r="L78">
        <v>-214</v>
      </c>
      <c r="M78">
        <v>0</v>
      </c>
      <c r="N78">
        <v>0</v>
      </c>
      <c r="O78">
        <v>0</v>
      </c>
      <c r="U78">
        <v>1</v>
      </c>
      <c r="V78">
        <v>0.4</v>
      </c>
      <c r="W78" s="103">
        <v>0</v>
      </c>
      <c r="X78">
        <v>6956.75</v>
      </c>
      <c r="Y78">
        <v>7046.35</v>
      </c>
      <c r="Z78" s="103">
        <v>0</v>
      </c>
    </row>
    <row r="79" spans="1:26">
      <c r="A79">
        <v>20080828</v>
      </c>
      <c r="B79">
        <v>7080</v>
      </c>
      <c r="C79">
        <v>7138</v>
      </c>
      <c r="D79">
        <v>7034</v>
      </c>
      <c r="E79">
        <v>7041</v>
      </c>
      <c r="F79">
        <v>55649</v>
      </c>
      <c r="G79">
        <v>-2</v>
      </c>
      <c r="H79">
        <v>-39</v>
      </c>
      <c r="I79">
        <v>1</v>
      </c>
      <c r="J79">
        <v>-1</v>
      </c>
      <c r="K79">
        <v>41</v>
      </c>
      <c r="L79">
        <v>-173</v>
      </c>
      <c r="M79">
        <v>3</v>
      </c>
      <c r="N79">
        <v>0</v>
      </c>
      <c r="O79">
        <v>0</v>
      </c>
      <c r="U79">
        <v>0</v>
      </c>
      <c r="V79">
        <v>0.3</v>
      </c>
      <c r="W79" s="103">
        <v>0</v>
      </c>
      <c r="X79">
        <v>6964.375</v>
      </c>
      <c r="Y79">
        <v>7048.5</v>
      </c>
      <c r="Z79" s="103">
        <v>0</v>
      </c>
    </row>
    <row r="80" spans="1:26">
      <c r="A80">
        <v>20080829</v>
      </c>
      <c r="B80">
        <v>7100</v>
      </c>
      <c r="C80">
        <v>7138</v>
      </c>
      <c r="D80">
        <v>7011</v>
      </c>
      <c r="E80">
        <v>7054</v>
      </c>
      <c r="F80">
        <v>59224</v>
      </c>
      <c r="G80">
        <v>59</v>
      </c>
      <c r="H80">
        <v>-46</v>
      </c>
      <c r="I80">
        <v>0</v>
      </c>
      <c r="J80">
        <v>0</v>
      </c>
      <c r="K80">
        <v>-59</v>
      </c>
      <c r="L80">
        <v>-232</v>
      </c>
      <c r="M80">
        <v>0</v>
      </c>
      <c r="N80">
        <v>0</v>
      </c>
      <c r="O80">
        <v>0</v>
      </c>
      <c r="U80">
        <v>1</v>
      </c>
      <c r="V80">
        <v>0.4</v>
      </c>
      <c r="W80" s="103">
        <v>0</v>
      </c>
      <c r="X80">
        <v>6979.125</v>
      </c>
      <c r="Y80">
        <v>7055.5</v>
      </c>
      <c r="Z80" s="103">
        <v>0</v>
      </c>
    </row>
    <row r="81" spans="1:26">
      <c r="A81">
        <v>20080901</v>
      </c>
      <c r="B81">
        <v>6980</v>
      </c>
      <c r="C81">
        <v>6986</v>
      </c>
      <c r="D81">
        <v>6740</v>
      </c>
      <c r="E81">
        <v>6756</v>
      </c>
      <c r="F81">
        <v>70388</v>
      </c>
      <c r="G81">
        <v>-74</v>
      </c>
      <c r="H81">
        <v>-224</v>
      </c>
      <c r="I81">
        <v>0</v>
      </c>
      <c r="J81">
        <v>0</v>
      </c>
      <c r="K81">
        <v>0</v>
      </c>
      <c r="L81">
        <v>-232</v>
      </c>
      <c r="M81">
        <v>0</v>
      </c>
      <c r="N81">
        <v>0</v>
      </c>
      <c r="O81">
        <v>0</v>
      </c>
      <c r="U81">
        <v>0</v>
      </c>
      <c r="V81">
        <v>0.4</v>
      </c>
      <c r="W81" s="103">
        <v>0</v>
      </c>
      <c r="X81">
        <v>6951.25</v>
      </c>
      <c r="Y81">
        <v>7046.6</v>
      </c>
      <c r="Z81" s="103">
        <v>0</v>
      </c>
    </row>
    <row r="82" spans="1:26">
      <c r="A82">
        <v>20080902</v>
      </c>
      <c r="B82">
        <v>6790</v>
      </c>
      <c r="C82">
        <v>6797</v>
      </c>
      <c r="D82">
        <v>6652</v>
      </c>
      <c r="E82">
        <v>6698</v>
      </c>
      <c r="F82">
        <v>74737</v>
      </c>
      <c r="G82">
        <v>34</v>
      </c>
      <c r="H82">
        <v>-92</v>
      </c>
      <c r="I82">
        <v>0</v>
      </c>
      <c r="J82">
        <v>0</v>
      </c>
      <c r="K82">
        <v>0</v>
      </c>
      <c r="L82">
        <v>-232</v>
      </c>
      <c r="M82">
        <v>0</v>
      </c>
      <c r="N82">
        <v>0</v>
      </c>
      <c r="O82">
        <v>0</v>
      </c>
      <c r="U82">
        <v>0</v>
      </c>
      <c r="V82">
        <v>0.4</v>
      </c>
      <c r="W82" s="103">
        <v>0</v>
      </c>
      <c r="X82">
        <v>6928.75</v>
      </c>
      <c r="Y82">
        <v>7042.6</v>
      </c>
      <c r="Z82" s="103">
        <v>0</v>
      </c>
    </row>
    <row r="83" spans="1:26">
      <c r="A83">
        <v>20080903</v>
      </c>
      <c r="B83">
        <v>6714</v>
      </c>
      <c r="C83">
        <v>6756</v>
      </c>
      <c r="D83">
        <v>6560</v>
      </c>
      <c r="E83">
        <v>6588</v>
      </c>
      <c r="F83">
        <v>80450</v>
      </c>
      <c r="G83">
        <v>16</v>
      </c>
      <c r="H83">
        <v>-126</v>
      </c>
      <c r="I83">
        <v>0</v>
      </c>
      <c r="J83">
        <v>0</v>
      </c>
      <c r="K83">
        <v>0</v>
      </c>
      <c r="L83">
        <v>-232</v>
      </c>
      <c r="M83">
        <v>0</v>
      </c>
      <c r="N83">
        <v>0</v>
      </c>
      <c r="O83">
        <v>0</v>
      </c>
      <c r="U83">
        <v>0</v>
      </c>
      <c r="V83">
        <v>0.3</v>
      </c>
      <c r="W83" s="103">
        <v>0</v>
      </c>
      <c r="X83">
        <v>6894.125</v>
      </c>
      <c r="Y83">
        <v>7021.15</v>
      </c>
      <c r="Z83" s="103">
        <v>0</v>
      </c>
    </row>
    <row r="84" spans="1:26">
      <c r="A84">
        <v>20080904</v>
      </c>
      <c r="B84">
        <v>6561</v>
      </c>
      <c r="C84">
        <v>6630</v>
      </c>
      <c r="D84">
        <v>6345</v>
      </c>
      <c r="E84">
        <v>6397</v>
      </c>
      <c r="F84">
        <v>85011</v>
      </c>
      <c r="G84">
        <v>-27</v>
      </c>
      <c r="H84">
        <v>-164</v>
      </c>
      <c r="I84">
        <v>0</v>
      </c>
      <c r="J84">
        <v>0</v>
      </c>
      <c r="K84">
        <v>0</v>
      </c>
      <c r="L84">
        <v>-232</v>
      </c>
      <c r="M84">
        <v>0</v>
      </c>
      <c r="N84">
        <v>0</v>
      </c>
      <c r="O84">
        <v>0</v>
      </c>
      <c r="U84">
        <v>0</v>
      </c>
      <c r="V84">
        <v>0.3</v>
      </c>
      <c r="W84" s="103">
        <v>0</v>
      </c>
      <c r="X84">
        <v>6820.25</v>
      </c>
      <c r="Y84">
        <v>6990.7</v>
      </c>
      <c r="Z84" s="103">
        <v>0</v>
      </c>
    </row>
    <row r="85" spans="1:26">
      <c r="A85">
        <v>20080905</v>
      </c>
      <c r="B85">
        <v>6235</v>
      </c>
      <c r="C85">
        <v>6330</v>
      </c>
      <c r="D85">
        <v>6203</v>
      </c>
      <c r="E85">
        <v>6244</v>
      </c>
      <c r="F85">
        <v>69239</v>
      </c>
      <c r="G85">
        <v>-162</v>
      </c>
      <c r="H85">
        <v>9</v>
      </c>
      <c r="I85">
        <v>0</v>
      </c>
      <c r="J85">
        <v>0</v>
      </c>
      <c r="K85">
        <v>0</v>
      </c>
      <c r="L85">
        <v>-232</v>
      </c>
      <c r="M85">
        <v>0</v>
      </c>
      <c r="N85">
        <v>0</v>
      </c>
      <c r="O85">
        <v>0</v>
      </c>
      <c r="U85">
        <v>0</v>
      </c>
      <c r="V85">
        <v>0.3</v>
      </c>
      <c r="W85" s="103">
        <v>0</v>
      </c>
      <c r="X85">
        <v>6732.5</v>
      </c>
      <c r="Y85">
        <v>6943.45</v>
      </c>
      <c r="Z85" s="103">
        <v>0</v>
      </c>
    </row>
    <row r="86" spans="1:26">
      <c r="A86">
        <v>20080908</v>
      </c>
      <c r="B86">
        <v>6487</v>
      </c>
      <c r="C86">
        <v>6677</v>
      </c>
      <c r="D86">
        <v>6481</v>
      </c>
      <c r="E86">
        <v>6677</v>
      </c>
      <c r="F86">
        <v>59242</v>
      </c>
      <c r="G86">
        <v>243</v>
      </c>
      <c r="H86">
        <v>190</v>
      </c>
      <c r="I86">
        <v>0</v>
      </c>
      <c r="J86">
        <v>0</v>
      </c>
      <c r="K86">
        <v>0</v>
      </c>
      <c r="L86">
        <v>-232</v>
      </c>
      <c r="M86">
        <v>0</v>
      </c>
      <c r="N86">
        <v>0</v>
      </c>
      <c r="O86">
        <v>0</v>
      </c>
      <c r="U86">
        <v>1</v>
      </c>
      <c r="V86">
        <v>0.3</v>
      </c>
      <c r="W86" s="103">
        <v>0</v>
      </c>
      <c r="X86">
        <v>6681.875</v>
      </c>
      <c r="Y86">
        <v>6912.85</v>
      </c>
      <c r="Z86" s="103">
        <v>0</v>
      </c>
    </row>
    <row r="87" spans="1:26">
      <c r="A87">
        <v>20080909</v>
      </c>
      <c r="B87">
        <v>6594</v>
      </c>
      <c r="C87">
        <v>6618</v>
      </c>
      <c r="D87">
        <v>6390</v>
      </c>
      <c r="E87">
        <v>6466</v>
      </c>
      <c r="F87">
        <v>74030</v>
      </c>
      <c r="G87">
        <v>-83</v>
      </c>
      <c r="H87">
        <v>-128</v>
      </c>
      <c r="I87">
        <v>0</v>
      </c>
      <c r="J87">
        <v>0</v>
      </c>
      <c r="K87">
        <v>0</v>
      </c>
      <c r="L87">
        <v>-232</v>
      </c>
      <c r="M87">
        <v>0</v>
      </c>
      <c r="N87">
        <v>0</v>
      </c>
      <c r="O87">
        <v>0</v>
      </c>
      <c r="U87">
        <v>0</v>
      </c>
      <c r="V87">
        <v>0.3</v>
      </c>
      <c r="W87" s="103">
        <v>0</v>
      </c>
      <c r="X87">
        <v>6610</v>
      </c>
      <c r="Y87">
        <v>6872.65</v>
      </c>
      <c r="Z87" s="103">
        <v>0</v>
      </c>
    </row>
    <row r="88" spans="1:26">
      <c r="A88">
        <v>20080910</v>
      </c>
      <c r="B88">
        <v>6351</v>
      </c>
      <c r="C88">
        <v>6516</v>
      </c>
      <c r="D88">
        <v>6345</v>
      </c>
      <c r="E88">
        <v>6453</v>
      </c>
      <c r="F88">
        <v>85572</v>
      </c>
      <c r="G88">
        <v>-115</v>
      </c>
      <c r="H88">
        <v>102</v>
      </c>
      <c r="I88">
        <v>1</v>
      </c>
      <c r="J88">
        <v>0</v>
      </c>
      <c r="K88">
        <v>0</v>
      </c>
      <c r="L88">
        <v>-232</v>
      </c>
      <c r="M88">
        <v>0</v>
      </c>
      <c r="N88">
        <v>0</v>
      </c>
      <c r="O88">
        <v>0</v>
      </c>
      <c r="U88">
        <v>0</v>
      </c>
      <c r="V88">
        <v>0.2</v>
      </c>
      <c r="W88" s="103">
        <v>1</v>
      </c>
      <c r="X88">
        <v>6534.875</v>
      </c>
      <c r="Y88">
        <v>6830.35</v>
      </c>
      <c r="Z88" s="103">
        <v>0</v>
      </c>
    </row>
    <row r="89" spans="1:26">
      <c r="A89">
        <v>20080911</v>
      </c>
      <c r="B89">
        <v>6437</v>
      </c>
      <c r="C89">
        <v>6438</v>
      </c>
      <c r="D89">
        <v>6203</v>
      </c>
      <c r="E89">
        <v>6230</v>
      </c>
      <c r="F89">
        <v>82808</v>
      </c>
      <c r="G89">
        <v>-16</v>
      </c>
      <c r="H89">
        <v>-207</v>
      </c>
      <c r="I89">
        <v>1</v>
      </c>
      <c r="J89">
        <v>1</v>
      </c>
      <c r="K89">
        <v>-207</v>
      </c>
      <c r="L89">
        <v>-439</v>
      </c>
      <c r="M89">
        <v>0</v>
      </c>
      <c r="N89">
        <v>6372.63</v>
      </c>
      <c r="O89">
        <v>6630.1100000000006</v>
      </c>
      <c r="U89">
        <v>0</v>
      </c>
      <c r="V89">
        <v>0.2</v>
      </c>
      <c r="W89" s="103">
        <v>1</v>
      </c>
      <c r="X89">
        <v>6469.125</v>
      </c>
      <c r="Y89">
        <v>6773.7</v>
      </c>
      <c r="Z89" s="103">
        <v>0</v>
      </c>
    </row>
    <row r="90" spans="1:26">
      <c r="A90">
        <v>20080912</v>
      </c>
      <c r="B90">
        <v>6354</v>
      </c>
      <c r="C90">
        <v>6369</v>
      </c>
      <c r="D90">
        <v>6153</v>
      </c>
      <c r="E90">
        <v>6288</v>
      </c>
      <c r="F90">
        <v>86372</v>
      </c>
      <c r="G90">
        <v>124</v>
      </c>
      <c r="H90">
        <v>-66</v>
      </c>
      <c r="I90">
        <v>-1</v>
      </c>
      <c r="J90">
        <v>1</v>
      </c>
      <c r="K90">
        <v>58</v>
      </c>
      <c r="L90">
        <v>-381</v>
      </c>
      <c r="M90">
        <v>1</v>
      </c>
      <c r="N90">
        <v>0</v>
      </c>
      <c r="O90">
        <v>0</v>
      </c>
      <c r="U90">
        <v>1</v>
      </c>
      <c r="V90">
        <v>0.2</v>
      </c>
      <c r="W90" s="103">
        <v>1</v>
      </c>
      <c r="X90">
        <v>6417.875</v>
      </c>
      <c r="Y90">
        <v>6727.3</v>
      </c>
      <c r="Z90" s="103">
        <v>0</v>
      </c>
    </row>
    <row r="91" spans="1:26">
      <c r="A91">
        <v>20080915</v>
      </c>
      <c r="B91">
        <v>6130</v>
      </c>
      <c r="C91">
        <v>6190</v>
      </c>
      <c r="D91">
        <v>5863</v>
      </c>
      <c r="E91">
        <v>5967</v>
      </c>
      <c r="F91">
        <v>79849</v>
      </c>
      <c r="G91">
        <v>-158</v>
      </c>
      <c r="H91">
        <v>-163</v>
      </c>
      <c r="I91">
        <v>1</v>
      </c>
      <c r="J91">
        <v>0</v>
      </c>
      <c r="K91">
        <v>-158</v>
      </c>
      <c r="L91">
        <v>-539</v>
      </c>
      <c r="M91">
        <v>0</v>
      </c>
      <c r="N91">
        <v>0</v>
      </c>
      <c r="O91">
        <v>0</v>
      </c>
      <c r="U91">
        <v>0</v>
      </c>
      <c r="V91">
        <v>0.2</v>
      </c>
      <c r="W91" s="103">
        <v>1</v>
      </c>
      <c r="X91">
        <v>6340.25</v>
      </c>
      <c r="Y91">
        <v>6676.65</v>
      </c>
      <c r="Z91" s="103">
        <v>0</v>
      </c>
    </row>
    <row r="92" spans="1:26">
      <c r="A92">
        <v>20080916</v>
      </c>
      <c r="B92">
        <v>5849</v>
      </c>
      <c r="C92">
        <v>5858</v>
      </c>
      <c r="D92">
        <v>5679</v>
      </c>
      <c r="E92">
        <v>5685</v>
      </c>
      <c r="F92">
        <v>87342</v>
      </c>
      <c r="G92">
        <v>-118</v>
      </c>
      <c r="H92">
        <v>-164</v>
      </c>
      <c r="I92">
        <v>1</v>
      </c>
      <c r="J92">
        <v>1</v>
      </c>
      <c r="K92">
        <v>-164</v>
      </c>
      <c r="L92">
        <v>-703</v>
      </c>
      <c r="M92">
        <v>0</v>
      </c>
      <c r="N92">
        <v>5790.51</v>
      </c>
      <c r="O92">
        <v>6024.47</v>
      </c>
      <c r="U92">
        <v>0</v>
      </c>
      <c r="V92">
        <v>0.2</v>
      </c>
      <c r="W92" s="103">
        <v>1</v>
      </c>
      <c r="X92">
        <v>6251.25</v>
      </c>
      <c r="Y92">
        <v>6614.1</v>
      </c>
      <c r="Z92" s="103">
        <v>0</v>
      </c>
    </row>
    <row r="93" spans="1:26">
      <c r="A93">
        <v>20080917</v>
      </c>
      <c r="B93">
        <v>5945</v>
      </c>
      <c r="C93">
        <v>5955</v>
      </c>
      <c r="D93">
        <v>5691</v>
      </c>
      <c r="E93">
        <v>5745</v>
      </c>
      <c r="F93">
        <v>55404</v>
      </c>
      <c r="G93">
        <v>260</v>
      </c>
      <c r="H93">
        <v>-200</v>
      </c>
      <c r="I93">
        <v>0</v>
      </c>
      <c r="J93">
        <v>1</v>
      </c>
      <c r="K93">
        <v>60</v>
      </c>
      <c r="L93">
        <v>-643</v>
      </c>
      <c r="M93">
        <v>0</v>
      </c>
      <c r="N93">
        <v>0</v>
      </c>
      <c r="O93">
        <v>0</v>
      </c>
      <c r="U93">
        <v>1</v>
      </c>
      <c r="V93">
        <v>0.3</v>
      </c>
      <c r="W93" s="103">
        <v>0</v>
      </c>
      <c r="X93">
        <v>6188.875</v>
      </c>
      <c r="Y93">
        <v>6552.4</v>
      </c>
      <c r="Z93" s="103">
        <v>0</v>
      </c>
    </row>
    <row r="94" spans="1:26">
      <c r="A94">
        <v>20080918</v>
      </c>
      <c r="B94">
        <v>5551</v>
      </c>
      <c r="C94">
        <v>5590</v>
      </c>
      <c r="D94">
        <v>5416</v>
      </c>
      <c r="E94">
        <v>5522</v>
      </c>
      <c r="F94">
        <v>104742</v>
      </c>
      <c r="G94">
        <v>-194</v>
      </c>
      <c r="H94">
        <v>-29</v>
      </c>
      <c r="I94">
        <v>-1</v>
      </c>
      <c r="J94">
        <v>1</v>
      </c>
      <c r="K94">
        <v>-223</v>
      </c>
      <c r="L94">
        <v>-866</v>
      </c>
      <c r="M94">
        <v>1</v>
      </c>
      <c r="N94">
        <v>0</v>
      </c>
      <c r="O94">
        <v>0</v>
      </c>
      <c r="U94">
        <v>0</v>
      </c>
      <c r="V94">
        <v>0.3</v>
      </c>
      <c r="W94" s="103">
        <v>0</v>
      </c>
      <c r="X94">
        <v>6044.5</v>
      </c>
      <c r="Y94">
        <v>6484.6</v>
      </c>
      <c r="Z94" s="103">
        <v>0</v>
      </c>
    </row>
    <row r="95" spans="1:26">
      <c r="A95">
        <v>20080919</v>
      </c>
      <c r="B95">
        <v>5806</v>
      </c>
      <c r="C95">
        <v>5908</v>
      </c>
      <c r="D95">
        <v>5785</v>
      </c>
      <c r="E95">
        <v>5908</v>
      </c>
      <c r="F95">
        <v>42325</v>
      </c>
      <c r="G95">
        <v>284</v>
      </c>
      <c r="H95">
        <v>102</v>
      </c>
      <c r="I95">
        <v>0</v>
      </c>
      <c r="J95">
        <v>0</v>
      </c>
      <c r="K95">
        <v>284</v>
      </c>
      <c r="L95">
        <v>-582</v>
      </c>
      <c r="M95">
        <v>0</v>
      </c>
      <c r="N95">
        <v>0</v>
      </c>
      <c r="O95">
        <v>0</v>
      </c>
      <c r="U95">
        <v>1</v>
      </c>
      <c r="V95">
        <v>0.4</v>
      </c>
      <c r="W95" s="103">
        <v>0</v>
      </c>
      <c r="X95">
        <v>5974.75</v>
      </c>
      <c r="Y95">
        <v>6436.75</v>
      </c>
      <c r="Z95" s="103">
        <v>0</v>
      </c>
    </row>
    <row r="96" spans="1:26">
      <c r="A96">
        <v>20080922</v>
      </c>
      <c r="B96">
        <v>6120</v>
      </c>
      <c r="C96">
        <v>6122</v>
      </c>
      <c r="D96">
        <v>5956</v>
      </c>
      <c r="E96">
        <v>6089</v>
      </c>
      <c r="F96">
        <v>79567</v>
      </c>
      <c r="G96">
        <v>212</v>
      </c>
      <c r="H96">
        <v>-31</v>
      </c>
      <c r="I96">
        <v>0</v>
      </c>
      <c r="J96">
        <v>0</v>
      </c>
      <c r="K96">
        <v>0</v>
      </c>
      <c r="L96">
        <v>-582</v>
      </c>
      <c r="M96">
        <v>0</v>
      </c>
      <c r="N96">
        <v>0</v>
      </c>
      <c r="O96">
        <v>0</v>
      </c>
      <c r="U96">
        <v>1</v>
      </c>
      <c r="V96">
        <v>0.4</v>
      </c>
      <c r="W96" s="103">
        <v>0</v>
      </c>
      <c r="X96">
        <v>5929.25</v>
      </c>
      <c r="Y96">
        <v>6391.8</v>
      </c>
      <c r="Z96" s="103">
        <v>0</v>
      </c>
    </row>
    <row r="97" spans="1:26">
      <c r="A97">
        <v>20080923</v>
      </c>
      <c r="B97">
        <v>6030</v>
      </c>
      <c r="C97">
        <v>6150</v>
      </c>
      <c r="D97">
        <v>5995</v>
      </c>
      <c r="E97">
        <v>6135</v>
      </c>
      <c r="F97">
        <v>72428</v>
      </c>
      <c r="G97">
        <v>-59</v>
      </c>
      <c r="H97">
        <v>105</v>
      </c>
      <c r="I97">
        <v>0</v>
      </c>
      <c r="J97">
        <v>0</v>
      </c>
      <c r="K97">
        <v>0</v>
      </c>
      <c r="L97">
        <v>-582</v>
      </c>
      <c r="M97">
        <v>0</v>
      </c>
      <c r="N97">
        <v>0</v>
      </c>
      <c r="O97">
        <v>0</v>
      </c>
      <c r="U97">
        <v>1</v>
      </c>
      <c r="V97">
        <v>0.5</v>
      </c>
      <c r="W97" s="103">
        <v>0</v>
      </c>
      <c r="X97">
        <v>5917.375</v>
      </c>
      <c r="Y97">
        <v>6351.25</v>
      </c>
      <c r="Z97" s="103">
        <v>0</v>
      </c>
    </row>
    <row r="98" spans="1:26">
      <c r="A98">
        <v>20080924</v>
      </c>
      <c r="B98">
        <v>6117</v>
      </c>
      <c r="C98">
        <v>6195</v>
      </c>
      <c r="D98">
        <v>6075</v>
      </c>
      <c r="E98">
        <v>6155</v>
      </c>
      <c r="F98">
        <v>78510</v>
      </c>
      <c r="G98">
        <v>-18</v>
      </c>
      <c r="H98">
        <v>38</v>
      </c>
      <c r="I98">
        <v>-1</v>
      </c>
      <c r="J98">
        <v>0</v>
      </c>
      <c r="K98">
        <v>0</v>
      </c>
      <c r="L98">
        <v>-582</v>
      </c>
      <c r="M98">
        <v>0</v>
      </c>
      <c r="N98">
        <v>0</v>
      </c>
      <c r="O98">
        <v>0</v>
      </c>
      <c r="U98">
        <v>1</v>
      </c>
      <c r="V98">
        <v>0.6</v>
      </c>
      <c r="W98" s="103">
        <v>-1</v>
      </c>
      <c r="X98">
        <v>5900.75</v>
      </c>
      <c r="Y98">
        <v>6304.9</v>
      </c>
      <c r="Z98" s="103">
        <v>0</v>
      </c>
    </row>
    <row r="99" spans="1:26">
      <c r="A99">
        <v>20080925</v>
      </c>
      <c r="B99">
        <v>6000</v>
      </c>
      <c r="C99">
        <v>6159</v>
      </c>
      <c r="D99">
        <v>5961</v>
      </c>
      <c r="E99">
        <v>6058</v>
      </c>
      <c r="F99">
        <v>77756</v>
      </c>
      <c r="G99">
        <v>-155</v>
      </c>
      <c r="H99">
        <v>58</v>
      </c>
      <c r="I99">
        <v>-1</v>
      </c>
      <c r="J99">
        <v>-1</v>
      </c>
      <c r="K99">
        <v>-58</v>
      </c>
      <c r="L99">
        <v>-640</v>
      </c>
      <c r="M99">
        <v>0</v>
      </c>
      <c r="N99">
        <v>6060</v>
      </c>
      <c r="O99">
        <v>5820</v>
      </c>
      <c r="U99">
        <v>0</v>
      </c>
      <c r="V99">
        <v>0.6</v>
      </c>
      <c r="W99" s="103">
        <v>-1</v>
      </c>
      <c r="X99">
        <v>5912.125</v>
      </c>
      <c r="Y99">
        <v>6255.75</v>
      </c>
      <c r="Z99" s="103">
        <v>0</v>
      </c>
    </row>
    <row r="100" spans="1:26">
      <c r="A100">
        <v>20080926</v>
      </c>
      <c r="B100">
        <v>6050</v>
      </c>
      <c r="C100">
        <v>6061</v>
      </c>
      <c r="D100">
        <v>5819</v>
      </c>
      <c r="E100">
        <v>5866</v>
      </c>
      <c r="F100">
        <v>83524</v>
      </c>
      <c r="G100">
        <v>-8</v>
      </c>
      <c r="H100">
        <v>-184</v>
      </c>
      <c r="I100">
        <v>0</v>
      </c>
      <c r="J100">
        <v>-1</v>
      </c>
      <c r="K100">
        <v>192</v>
      </c>
      <c r="L100">
        <v>-448</v>
      </c>
      <c r="M100">
        <v>0</v>
      </c>
      <c r="N100">
        <v>0</v>
      </c>
      <c r="O100">
        <v>0</v>
      </c>
      <c r="U100">
        <v>0</v>
      </c>
      <c r="V100">
        <v>0.5</v>
      </c>
      <c r="W100" s="103">
        <v>0</v>
      </c>
      <c r="X100">
        <v>5934.75</v>
      </c>
      <c r="Y100">
        <v>6196.35</v>
      </c>
      <c r="Z100" s="103">
        <v>0</v>
      </c>
    </row>
    <row r="101" spans="1:26">
      <c r="A101">
        <v>20080930</v>
      </c>
      <c r="B101">
        <v>5459</v>
      </c>
      <c r="C101">
        <v>5587</v>
      </c>
      <c r="D101">
        <v>5459</v>
      </c>
      <c r="E101">
        <v>5549</v>
      </c>
      <c r="F101">
        <v>51309</v>
      </c>
      <c r="G101">
        <v>-407</v>
      </c>
      <c r="H101">
        <v>90</v>
      </c>
      <c r="I101">
        <v>1</v>
      </c>
      <c r="J101">
        <v>-1</v>
      </c>
      <c r="K101">
        <v>317</v>
      </c>
      <c r="L101">
        <v>-131</v>
      </c>
      <c r="M101">
        <v>4</v>
      </c>
      <c r="N101">
        <v>0</v>
      </c>
      <c r="O101">
        <v>0</v>
      </c>
      <c r="U101">
        <v>0</v>
      </c>
      <c r="V101">
        <v>0.5</v>
      </c>
      <c r="W101" s="103">
        <v>0</v>
      </c>
      <c r="X101">
        <v>5910.25</v>
      </c>
      <c r="Y101">
        <v>6136</v>
      </c>
      <c r="Z101" s="103">
        <v>0</v>
      </c>
    </row>
    <row r="102" spans="1:26">
      <c r="A102">
        <v>20081001</v>
      </c>
      <c r="B102">
        <v>5599</v>
      </c>
      <c r="C102">
        <v>5718</v>
      </c>
      <c r="D102">
        <v>5598</v>
      </c>
      <c r="E102">
        <v>5676</v>
      </c>
      <c r="F102">
        <v>70136</v>
      </c>
      <c r="G102">
        <v>50</v>
      </c>
      <c r="H102">
        <v>77</v>
      </c>
      <c r="I102">
        <v>-1</v>
      </c>
      <c r="J102">
        <v>0</v>
      </c>
      <c r="K102">
        <v>-50</v>
      </c>
      <c r="L102">
        <v>-181</v>
      </c>
      <c r="M102">
        <v>0</v>
      </c>
      <c r="N102">
        <v>0</v>
      </c>
      <c r="O102">
        <v>0</v>
      </c>
      <c r="U102">
        <v>1</v>
      </c>
      <c r="V102">
        <v>0.6</v>
      </c>
      <c r="W102" s="103">
        <v>-1</v>
      </c>
      <c r="X102">
        <v>5929.5</v>
      </c>
      <c r="Y102">
        <v>6084.9</v>
      </c>
      <c r="Z102" s="103">
        <v>0</v>
      </c>
    </row>
    <row r="103" spans="1:26">
      <c r="A103">
        <v>20081002</v>
      </c>
      <c r="B103">
        <v>5721</v>
      </c>
      <c r="C103">
        <v>5739</v>
      </c>
      <c r="D103">
        <v>5555</v>
      </c>
      <c r="E103">
        <v>5618</v>
      </c>
      <c r="F103">
        <v>80906</v>
      </c>
      <c r="G103">
        <v>45</v>
      </c>
      <c r="H103">
        <v>-103</v>
      </c>
      <c r="I103">
        <v>0</v>
      </c>
      <c r="J103">
        <v>-1</v>
      </c>
      <c r="K103">
        <v>103</v>
      </c>
      <c r="L103">
        <v>-78</v>
      </c>
      <c r="M103">
        <v>0</v>
      </c>
      <c r="N103">
        <v>5778.21</v>
      </c>
      <c r="O103">
        <v>5549.37</v>
      </c>
      <c r="U103">
        <v>0</v>
      </c>
      <c r="V103">
        <v>0.5</v>
      </c>
      <c r="W103" s="103">
        <v>0</v>
      </c>
      <c r="X103">
        <v>5893.25</v>
      </c>
      <c r="Y103">
        <v>6036.4</v>
      </c>
      <c r="Z103" s="103">
        <v>0</v>
      </c>
    </row>
    <row r="104" spans="1:26">
      <c r="A104">
        <v>20081003</v>
      </c>
      <c r="B104">
        <v>5550</v>
      </c>
      <c r="C104">
        <v>5685</v>
      </c>
      <c r="D104">
        <v>5490</v>
      </c>
      <c r="E104">
        <v>5645</v>
      </c>
      <c r="F104">
        <v>78624</v>
      </c>
      <c r="G104">
        <v>-68</v>
      </c>
      <c r="H104">
        <v>95</v>
      </c>
      <c r="I104">
        <v>-1</v>
      </c>
      <c r="J104">
        <v>-1</v>
      </c>
      <c r="K104">
        <v>-27</v>
      </c>
      <c r="L104">
        <v>-105</v>
      </c>
      <c r="M104">
        <v>0</v>
      </c>
      <c r="N104">
        <v>0</v>
      </c>
      <c r="O104">
        <v>0</v>
      </c>
      <c r="U104">
        <v>1</v>
      </c>
      <c r="V104">
        <v>0.6</v>
      </c>
      <c r="W104" s="103">
        <v>-1</v>
      </c>
      <c r="X104">
        <v>5837.75</v>
      </c>
      <c r="Y104">
        <v>5998.8</v>
      </c>
      <c r="Z104" s="103">
        <v>0</v>
      </c>
    </row>
    <row r="105" spans="1:26">
      <c r="A105">
        <v>20081006</v>
      </c>
      <c r="B105">
        <v>5488</v>
      </c>
      <c r="C105">
        <v>5500</v>
      </c>
      <c r="D105">
        <v>5382</v>
      </c>
      <c r="E105">
        <v>5387</v>
      </c>
      <c r="F105">
        <v>72476</v>
      </c>
      <c r="G105">
        <v>-157</v>
      </c>
      <c r="H105">
        <v>-101</v>
      </c>
      <c r="I105">
        <v>1</v>
      </c>
      <c r="J105">
        <v>-1</v>
      </c>
      <c r="K105">
        <v>258</v>
      </c>
      <c r="L105">
        <v>153</v>
      </c>
      <c r="M105">
        <v>4</v>
      </c>
      <c r="N105">
        <v>0</v>
      </c>
      <c r="O105">
        <v>0</v>
      </c>
      <c r="U105">
        <v>0</v>
      </c>
      <c r="V105">
        <v>0.5</v>
      </c>
      <c r="W105" s="103">
        <v>0</v>
      </c>
      <c r="X105">
        <v>5744.25</v>
      </c>
      <c r="Y105">
        <v>5955.95</v>
      </c>
      <c r="Z105" s="103">
        <v>0</v>
      </c>
    </row>
    <row r="106" spans="1:26">
      <c r="A106">
        <v>20081007</v>
      </c>
      <c r="B106">
        <v>5250</v>
      </c>
      <c r="C106">
        <v>5485</v>
      </c>
      <c r="D106">
        <v>5222</v>
      </c>
      <c r="E106">
        <v>5445</v>
      </c>
      <c r="F106">
        <v>91113</v>
      </c>
      <c r="G106">
        <v>-137</v>
      </c>
      <c r="H106">
        <v>195</v>
      </c>
      <c r="I106">
        <v>0</v>
      </c>
      <c r="J106">
        <v>0</v>
      </c>
      <c r="K106">
        <v>137</v>
      </c>
      <c r="L106">
        <v>290</v>
      </c>
      <c r="M106">
        <v>0</v>
      </c>
      <c r="N106">
        <v>0</v>
      </c>
      <c r="O106">
        <v>0</v>
      </c>
      <c r="U106">
        <v>1</v>
      </c>
      <c r="V106">
        <v>0.5</v>
      </c>
      <c r="W106" s="103">
        <v>0</v>
      </c>
      <c r="X106">
        <v>5655.5</v>
      </c>
      <c r="Y106">
        <v>5894.35</v>
      </c>
      <c r="Z106" s="103">
        <v>0</v>
      </c>
    </row>
    <row r="107" spans="1:26">
      <c r="A107">
        <v>20081008</v>
      </c>
      <c r="B107">
        <v>5249</v>
      </c>
      <c r="C107">
        <v>5345</v>
      </c>
      <c r="D107">
        <v>5065</v>
      </c>
      <c r="E107">
        <v>5112</v>
      </c>
      <c r="F107">
        <v>105393</v>
      </c>
      <c r="G107">
        <v>-196</v>
      </c>
      <c r="H107">
        <v>-137</v>
      </c>
      <c r="I107">
        <v>0</v>
      </c>
      <c r="J107">
        <v>0</v>
      </c>
      <c r="K107">
        <v>0</v>
      </c>
      <c r="L107">
        <v>290</v>
      </c>
      <c r="M107">
        <v>0</v>
      </c>
      <c r="N107">
        <v>0</v>
      </c>
      <c r="O107">
        <v>0</v>
      </c>
      <c r="U107">
        <v>0</v>
      </c>
      <c r="V107">
        <v>0.4</v>
      </c>
      <c r="W107" s="103">
        <v>0</v>
      </c>
      <c r="X107">
        <v>5537.25</v>
      </c>
      <c r="Y107">
        <v>5826.65</v>
      </c>
      <c r="Z107" s="103">
        <v>0</v>
      </c>
    </row>
    <row r="108" spans="1:26">
      <c r="A108">
        <v>20081009</v>
      </c>
      <c r="B108">
        <v>5186</v>
      </c>
      <c r="C108">
        <v>5254</v>
      </c>
      <c r="D108">
        <v>5058</v>
      </c>
      <c r="E108">
        <v>5062</v>
      </c>
      <c r="F108">
        <v>110499</v>
      </c>
      <c r="G108">
        <v>74</v>
      </c>
      <c r="H108">
        <v>-124</v>
      </c>
      <c r="I108">
        <v>0</v>
      </c>
      <c r="J108">
        <v>0</v>
      </c>
      <c r="K108">
        <v>0</v>
      </c>
      <c r="L108">
        <v>290</v>
      </c>
      <c r="M108">
        <v>0</v>
      </c>
      <c r="N108">
        <v>0</v>
      </c>
      <c r="O108">
        <v>0</v>
      </c>
      <c r="U108">
        <v>0</v>
      </c>
      <c r="V108">
        <v>0.3</v>
      </c>
      <c r="W108" s="103">
        <v>0</v>
      </c>
      <c r="X108">
        <v>5436.75</v>
      </c>
      <c r="Y108">
        <v>5757.1</v>
      </c>
      <c r="Z108" s="103">
        <v>0</v>
      </c>
    </row>
    <row r="109" spans="1:26">
      <c r="A109">
        <v>20081013</v>
      </c>
      <c r="B109">
        <v>4885</v>
      </c>
      <c r="C109">
        <v>4978</v>
      </c>
      <c r="D109">
        <v>4885</v>
      </c>
      <c r="E109">
        <v>4945</v>
      </c>
      <c r="F109">
        <v>62516</v>
      </c>
      <c r="G109">
        <v>-177</v>
      </c>
      <c r="H109">
        <v>60</v>
      </c>
      <c r="I109">
        <v>0</v>
      </c>
      <c r="J109">
        <v>0</v>
      </c>
      <c r="K109">
        <v>0</v>
      </c>
      <c r="L109">
        <v>290</v>
      </c>
      <c r="M109">
        <v>0</v>
      </c>
      <c r="N109">
        <v>0</v>
      </c>
      <c r="O109">
        <v>0</v>
      </c>
      <c r="U109">
        <v>0</v>
      </c>
      <c r="V109">
        <v>0.3</v>
      </c>
      <c r="W109" s="103">
        <v>0</v>
      </c>
      <c r="X109">
        <v>5361.25</v>
      </c>
      <c r="Y109">
        <v>5692.85</v>
      </c>
      <c r="Z109" s="103">
        <v>0</v>
      </c>
    </row>
    <row r="110" spans="1:26">
      <c r="A110">
        <v>20081014</v>
      </c>
      <c r="B110">
        <v>5286</v>
      </c>
      <c r="C110">
        <v>5287</v>
      </c>
      <c r="D110">
        <v>5236</v>
      </c>
      <c r="E110">
        <v>5287</v>
      </c>
      <c r="F110">
        <v>40302</v>
      </c>
      <c r="G110">
        <v>341</v>
      </c>
      <c r="H110">
        <v>1</v>
      </c>
      <c r="I110">
        <v>0</v>
      </c>
      <c r="J110">
        <v>0</v>
      </c>
      <c r="K110">
        <v>0</v>
      </c>
      <c r="L110">
        <v>290</v>
      </c>
      <c r="M110">
        <v>0</v>
      </c>
      <c r="N110">
        <v>0</v>
      </c>
      <c r="O110">
        <v>0</v>
      </c>
      <c r="U110">
        <v>1</v>
      </c>
      <c r="V110">
        <v>0.4</v>
      </c>
      <c r="W110" s="103">
        <v>0</v>
      </c>
      <c r="X110">
        <v>5312.625</v>
      </c>
      <c r="Y110">
        <v>5642.8</v>
      </c>
      <c r="Z110" s="103">
        <v>0</v>
      </c>
    </row>
    <row r="111" spans="1:26">
      <c r="A111">
        <v>20081015</v>
      </c>
      <c r="B111">
        <v>5192</v>
      </c>
      <c r="C111">
        <v>5229</v>
      </c>
      <c r="D111">
        <v>5078</v>
      </c>
      <c r="E111">
        <v>5160</v>
      </c>
      <c r="F111">
        <v>44644</v>
      </c>
      <c r="G111">
        <v>-95</v>
      </c>
      <c r="H111">
        <v>-32</v>
      </c>
      <c r="I111">
        <v>0</v>
      </c>
      <c r="J111">
        <v>0</v>
      </c>
      <c r="K111">
        <v>0</v>
      </c>
      <c r="L111">
        <v>290</v>
      </c>
      <c r="M111">
        <v>0</v>
      </c>
      <c r="N111">
        <v>0</v>
      </c>
      <c r="O111">
        <v>0</v>
      </c>
      <c r="U111">
        <v>0</v>
      </c>
      <c r="V111">
        <v>0.4</v>
      </c>
      <c r="W111" s="103">
        <v>0</v>
      </c>
      <c r="X111">
        <v>5255.375</v>
      </c>
      <c r="Y111">
        <v>5602.45</v>
      </c>
      <c r="Z111" s="103">
        <v>0</v>
      </c>
    </row>
    <row r="112" spans="1:26">
      <c r="A112">
        <v>20081016</v>
      </c>
      <c r="B112">
        <v>4978</v>
      </c>
      <c r="C112">
        <v>4978</v>
      </c>
      <c r="D112">
        <v>4978</v>
      </c>
      <c r="E112">
        <v>4978</v>
      </c>
      <c r="F112">
        <v>2305</v>
      </c>
      <c r="G112">
        <v>-182</v>
      </c>
      <c r="H112">
        <v>0</v>
      </c>
      <c r="I112">
        <v>0</v>
      </c>
      <c r="J112">
        <v>0</v>
      </c>
      <c r="K112">
        <v>0</v>
      </c>
      <c r="L112">
        <v>290</v>
      </c>
      <c r="M112">
        <v>0</v>
      </c>
      <c r="N112">
        <v>0</v>
      </c>
      <c r="O112">
        <v>0</v>
      </c>
      <c r="U112">
        <v>0</v>
      </c>
      <c r="V112">
        <v>0.3</v>
      </c>
      <c r="W112" s="103">
        <v>0</v>
      </c>
      <c r="X112">
        <v>5172</v>
      </c>
      <c r="Y112">
        <v>5567.1</v>
      </c>
      <c r="Z112" s="103">
        <v>0</v>
      </c>
    </row>
    <row r="113" spans="1:26">
      <c r="A113">
        <v>20081017</v>
      </c>
      <c r="B113">
        <v>4894</v>
      </c>
      <c r="C113">
        <v>4968</v>
      </c>
      <c r="D113">
        <v>4804</v>
      </c>
      <c r="E113">
        <v>4804</v>
      </c>
      <c r="F113">
        <v>72057</v>
      </c>
      <c r="G113">
        <v>-84</v>
      </c>
      <c r="H113">
        <v>-90</v>
      </c>
      <c r="I113">
        <v>0</v>
      </c>
      <c r="J113">
        <v>0</v>
      </c>
      <c r="K113">
        <v>0</v>
      </c>
      <c r="L113">
        <v>290</v>
      </c>
      <c r="M113">
        <v>0</v>
      </c>
      <c r="N113">
        <v>0</v>
      </c>
      <c r="O113">
        <v>0</v>
      </c>
      <c r="U113">
        <v>0</v>
      </c>
      <c r="V113">
        <v>0.3</v>
      </c>
      <c r="W113" s="103">
        <v>0</v>
      </c>
      <c r="X113">
        <v>5099.125</v>
      </c>
      <c r="Y113">
        <v>5520.05</v>
      </c>
      <c r="Z113" s="103">
        <v>0</v>
      </c>
    </row>
    <row r="114" spans="1:26">
      <c r="A114">
        <v>20081020</v>
      </c>
      <c r="B114">
        <v>4804</v>
      </c>
      <c r="C114">
        <v>4836</v>
      </c>
      <c r="D114">
        <v>4636</v>
      </c>
      <c r="E114">
        <v>4823</v>
      </c>
      <c r="F114">
        <v>85947</v>
      </c>
      <c r="G114">
        <v>0</v>
      </c>
      <c r="H114">
        <v>19</v>
      </c>
      <c r="I114">
        <v>0</v>
      </c>
      <c r="J114">
        <v>0</v>
      </c>
      <c r="K114">
        <v>0</v>
      </c>
      <c r="L114">
        <v>290</v>
      </c>
      <c r="M114">
        <v>0</v>
      </c>
      <c r="N114">
        <v>0</v>
      </c>
      <c r="O114">
        <v>0</v>
      </c>
      <c r="U114">
        <v>1</v>
      </c>
      <c r="V114">
        <v>0.3</v>
      </c>
      <c r="W114" s="103">
        <v>0</v>
      </c>
      <c r="X114">
        <v>5021.375</v>
      </c>
      <c r="Y114">
        <v>5485.1</v>
      </c>
      <c r="Z114" s="103">
        <v>0</v>
      </c>
    </row>
    <row r="115" spans="1:26">
      <c r="A115">
        <v>20081021</v>
      </c>
      <c r="B115">
        <v>4930</v>
      </c>
      <c r="C115">
        <v>4950</v>
      </c>
      <c r="D115">
        <v>4735</v>
      </c>
      <c r="E115">
        <v>4817</v>
      </c>
      <c r="F115">
        <v>117258</v>
      </c>
      <c r="G115">
        <v>107</v>
      </c>
      <c r="H115">
        <v>-113</v>
      </c>
      <c r="I115">
        <v>0</v>
      </c>
      <c r="J115">
        <v>0</v>
      </c>
      <c r="K115">
        <v>0</v>
      </c>
      <c r="L115">
        <v>290</v>
      </c>
      <c r="M115">
        <v>0</v>
      </c>
      <c r="N115">
        <v>0</v>
      </c>
      <c r="O115">
        <v>0</v>
      </c>
      <c r="U115">
        <v>0</v>
      </c>
      <c r="V115">
        <v>0.3</v>
      </c>
      <c r="W115" s="103">
        <v>0</v>
      </c>
      <c r="X115">
        <v>4984.5</v>
      </c>
      <c r="Y115">
        <v>5430.55</v>
      </c>
      <c r="Z115" s="103">
        <v>0</v>
      </c>
    </row>
    <row r="116" spans="1:26">
      <c r="A116">
        <v>20081022</v>
      </c>
      <c r="B116">
        <v>4738</v>
      </c>
      <c r="C116">
        <v>4855</v>
      </c>
      <c r="D116">
        <v>4650</v>
      </c>
      <c r="E116">
        <v>4656</v>
      </c>
      <c r="F116">
        <v>113984</v>
      </c>
      <c r="G116">
        <v>-79</v>
      </c>
      <c r="H116">
        <v>-82</v>
      </c>
      <c r="I116">
        <v>1</v>
      </c>
      <c r="J116">
        <v>0</v>
      </c>
      <c r="K116">
        <v>0</v>
      </c>
      <c r="L116">
        <v>290</v>
      </c>
      <c r="M116">
        <v>0</v>
      </c>
      <c r="N116">
        <v>0</v>
      </c>
      <c r="O116">
        <v>0</v>
      </c>
      <c r="U116">
        <v>0</v>
      </c>
      <c r="V116">
        <v>0.2</v>
      </c>
      <c r="W116" s="103">
        <v>1</v>
      </c>
      <c r="X116">
        <v>4933.75</v>
      </c>
      <c r="Y116">
        <v>5358.9</v>
      </c>
      <c r="Z116" s="103">
        <v>0</v>
      </c>
    </row>
    <row r="117" spans="1:26">
      <c r="A117">
        <v>20081023</v>
      </c>
      <c r="B117">
        <v>4494</v>
      </c>
      <c r="C117">
        <v>4528</v>
      </c>
      <c r="D117">
        <v>4494</v>
      </c>
      <c r="E117">
        <v>4494</v>
      </c>
      <c r="F117">
        <v>28439</v>
      </c>
      <c r="G117">
        <v>-162</v>
      </c>
      <c r="H117">
        <v>0</v>
      </c>
      <c r="I117">
        <v>1</v>
      </c>
      <c r="J117">
        <v>1</v>
      </c>
      <c r="K117">
        <v>0</v>
      </c>
      <c r="L117">
        <v>290</v>
      </c>
      <c r="M117">
        <v>0</v>
      </c>
      <c r="N117">
        <v>4449.0600000000004</v>
      </c>
      <c r="O117">
        <v>4628.82</v>
      </c>
      <c r="U117">
        <v>0</v>
      </c>
      <c r="V117">
        <v>0.2</v>
      </c>
      <c r="W117" s="103">
        <v>1</v>
      </c>
      <c r="X117">
        <v>4877.375</v>
      </c>
      <c r="Y117">
        <v>5276.85</v>
      </c>
      <c r="Z117" s="103">
        <v>0</v>
      </c>
    </row>
    <row r="118" spans="1:26">
      <c r="A118">
        <v>20081024</v>
      </c>
      <c r="B118">
        <v>4395</v>
      </c>
      <c r="C118">
        <v>4439</v>
      </c>
      <c r="D118">
        <v>4337</v>
      </c>
      <c r="E118">
        <v>4337</v>
      </c>
      <c r="F118">
        <v>31754</v>
      </c>
      <c r="G118">
        <v>-99</v>
      </c>
      <c r="H118">
        <v>-58</v>
      </c>
      <c r="I118">
        <v>-1</v>
      </c>
      <c r="J118">
        <v>1</v>
      </c>
      <c r="K118">
        <v>-157</v>
      </c>
      <c r="L118">
        <v>133</v>
      </c>
      <c r="M118">
        <v>1</v>
      </c>
      <c r="N118">
        <v>0</v>
      </c>
      <c r="O118">
        <v>0</v>
      </c>
      <c r="U118">
        <v>0</v>
      </c>
      <c r="V118">
        <v>0.2</v>
      </c>
      <c r="W118" s="103">
        <v>1</v>
      </c>
      <c r="X118">
        <v>4758.625</v>
      </c>
      <c r="Y118">
        <v>5185.95</v>
      </c>
      <c r="Z118" s="103">
        <v>0</v>
      </c>
    </row>
    <row r="119" spans="1:26">
      <c r="A119">
        <v>20081027</v>
      </c>
      <c r="B119">
        <v>4126</v>
      </c>
      <c r="C119">
        <v>4226</v>
      </c>
      <c r="D119">
        <v>4034</v>
      </c>
      <c r="E119">
        <v>4034</v>
      </c>
      <c r="F119">
        <v>88702</v>
      </c>
      <c r="G119">
        <v>-211</v>
      </c>
      <c r="H119">
        <v>-92</v>
      </c>
      <c r="I119">
        <v>1</v>
      </c>
      <c r="J119">
        <v>0</v>
      </c>
      <c r="K119">
        <v>-211</v>
      </c>
      <c r="L119">
        <v>-78</v>
      </c>
      <c r="M119">
        <v>0</v>
      </c>
      <c r="N119">
        <v>0</v>
      </c>
      <c r="O119">
        <v>0</v>
      </c>
      <c r="U119">
        <v>0</v>
      </c>
      <c r="V119">
        <v>0.2</v>
      </c>
      <c r="W119" s="103">
        <v>1</v>
      </c>
      <c r="X119">
        <v>4617.875</v>
      </c>
      <c r="Y119">
        <v>5084.75</v>
      </c>
      <c r="Z119" s="103">
        <v>0</v>
      </c>
    </row>
    <row r="120" spans="1:26">
      <c r="A120">
        <v>20081028</v>
      </c>
      <c r="B120">
        <v>3921</v>
      </c>
      <c r="C120">
        <v>4316</v>
      </c>
      <c r="D120">
        <v>3811</v>
      </c>
      <c r="E120">
        <v>4316</v>
      </c>
      <c r="F120">
        <v>161939</v>
      </c>
      <c r="G120">
        <v>-113</v>
      </c>
      <c r="H120">
        <v>395</v>
      </c>
      <c r="I120">
        <v>1</v>
      </c>
      <c r="J120">
        <v>1</v>
      </c>
      <c r="K120">
        <v>395</v>
      </c>
      <c r="L120">
        <v>317</v>
      </c>
      <c r="M120">
        <v>0</v>
      </c>
      <c r="N120">
        <v>3881.79</v>
      </c>
      <c r="O120">
        <v>4038.63</v>
      </c>
      <c r="U120">
        <v>1</v>
      </c>
      <c r="V120">
        <v>0.2</v>
      </c>
      <c r="W120" s="103">
        <v>1</v>
      </c>
      <c r="X120">
        <v>4535.125</v>
      </c>
      <c r="Y120">
        <v>5007.25</v>
      </c>
      <c r="Z120" s="103">
        <v>0</v>
      </c>
    </row>
    <row r="121" spans="1:26">
      <c r="A121">
        <v>20081029</v>
      </c>
      <c r="B121">
        <v>4618</v>
      </c>
      <c r="C121">
        <v>4618</v>
      </c>
      <c r="D121">
        <v>4212</v>
      </c>
      <c r="E121">
        <v>4288</v>
      </c>
      <c r="F121">
        <v>170104</v>
      </c>
      <c r="G121">
        <v>302</v>
      </c>
      <c r="H121">
        <v>-330</v>
      </c>
      <c r="I121">
        <v>-1</v>
      </c>
      <c r="J121">
        <v>1</v>
      </c>
      <c r="K121">
        <v>-28</v>
      </c>
      <c r="L121">
        <v>289</v>
      </c>
      <c r="M121">
        <v>2</v>
      </c>
      <c r="N121">
        <v>0</v>
      </c>
      <c r="O121">
        <v>0</v>
      </c>
      <c r="U121">
        <v>0</v>
      </c>
      <c r="V121">
        <v>0.2</v>
      </c>
      <c r="W121" s="103">
        <v>1</v>
      </c>
      <c r="X121">
        <v>4470.625</v>
      </c>
      <c r="Y121">
        <v>4944.2</v>
      </c>
      <c r="Z121" s="103">
        <v>0</v>
      </c>
    </row>
    <row r="122" spans="1:26">
      <c r="A122">
        <v>20081030</v>
      </c>
      <c r="B122">
        <v>4376</v>
      </c>
      <c r="C122">
        <v>4594</v>
      </c>
      <c r="D122">
        <v>4361</v>
      </c>
      <c r="E122">
        <v>4594</v>
      </c>
      <c r="F122">
        <v>71639</v>
      </c>
      <c r="G122">
        <v>88</v>
      </c>
      <c r="H122">
        <v>218</v>
      </c>
      <c r="I122">
        <v>0</v>
      </c>
      <c r="J122">
        <v>0</v>
      </c>
      <c r="K122">
        <v>88</v>
      </c>
      <c r="L122">
        <v>377</v>
      </c>
      <c r="M122">
        <v>0</v>
      </c>
      <c r="N122">
        <v>0</v>
      </c>
      <c r="O122">
        <v>0</v>
      </c>
      <c r="U122">
        <v>1</v>
      </c>
      <c r="V122">
        <v>0.3</v>
      </c>
      <c r="W122" s="103">
        <v>0</v>
      </c>
      <c r="X122">
        <v>4442</v>
      </c>
      <c r="Y122">
        <v>4890.1000000000004</v>
      </c>
      <c r="Z122" s="103">
        <v>0</v>
      </c>
    </row>
    <row r="123" spans="1:26">
      <c r="A123">
        <v>20081031</v>
      </c>
      <c r="B123">
        <v>4594</v>
      </c>
      <c r="C123">
        <v>4910</v>
      </c>
      <c r="D123">
        <v>4530</v>
      </c>
      <c r="E123">
        <v>4844</v>
      </c>
      <c r="F123">
        <v>171585</v>
      </c>
      <c r="G123">
        <v>0</v>
      </c>
      <c r="H123">
        <v>250</v>
      </c>
      <c r="I123">
        <v>0</v>
      </c>
      <c r="J123">
        <v>0</v>
      </c>
      <c r="K123">
        <v>0</v>
      </c>
      <c r="L123">
        <v>377</v>
      </c>
      <c r="M123">
        <v>0</v>
      </c>
      <c r="N123">
        <v>0</v>
      </c>
      <c r="O123">
        <v>0</v>
      </c>
      <c r="U123">
        <v>1</v>
      </c>
      <c r="V123">
        <v>0.4</v>
      </c>
      <c r="W123" s="103">
        <v>0</v>
      </c>
      <c r="X123">
        <v>4445.375</v>
      </c>
      <c r="Y123">
        <v>4851.3999999999996</v>
      </c>
      <c r="Z123" s="103">
        <v>0</v>
      </c>
    </row>
    <row r="124" spans="1:26">
      <c r="A124">
        <v>20081103</v>
      </c>
      <c r="B124">
        <v>4910</v>
      </c>
      <c r="C124">
        <v>4994</v>
      </c>
      <c r="D124">
        <v>4784</v>
      </c>
      <c r="E124">
        <v>4992</v>
      </c>
      <c r="F124">
        <v>146385</v>
      </c>
      <c r="G124">
        <v>66</v>
      </c>
      <c r="H124">
        <v>82</v>
      </c>
      <c r="I124">
        <v>0</v>
      </c>
      <c r="J124">
        <v>0</v>
      </c>
      <c r="K124">
        <v>0</v>
      </c>
      <c r="L124">
        <v>377</v>
      </c>
      <c r="M124">
        <v>0</v>
      </c>
      <c r="N124">
        <v>0</v>
      </c>
      <c r="O124">
        <v>0</v>
      </c>
      <c r="U124">
        <v>1</v>
      </c>
      <c r="V124">
        <v>0.4</v>
      </c>
      <c r="W124" s="103">
        <v>0</v>
      </c>
      <c r="X124">
        <v>4487.375</v>
      </c>
      <c r="Y124">
        <v>4818.75</v>
      </c>
      <c r="Z124" s="103">
        <v>0</v>
      </c>
    </row>
    <row r="125" spans="1:26">
      <c r="A125">
        <v>20081104</v>
      </c>
      <c r="B125">
        <v>4965</v>
      </c>
      <c r="C125">
        <v>5007</v>
      </c>
      <c r="D125">
        <v>4836</v>
      </c>
      <c r="E125">
        <v>4978</v>
      </c>
      <c r="F125">
        <v>130800</v>
      </c>
      <c r="G125">
        <v>-27</v>
      </c>
      <c r="H125">
        <v>13</v>
      </c>
      <c r="I125">
        <v>0</v>
      </c>
      <c r="J125">
        <v>0</v>
      </c>
      <c r="K125">
        <v>0</v>
      </c>
      <c r="L125">
        <v>377</v>
      </c>
      <c r="M125">
        <v>0</v>
      </c>
      <c r="N125">
        <v>0</v>
      </c>
      <c r="O125">
        <v>0</v>
      </c>
      <c r="U125">
        <v>0</v>
      </c>
      <c r="V125">
        <v>0.4</v>
      </c>
      <c r="W125" s="103">
        <v>0</v>
      </c>
      <c r="X125">
        <v>4547.875</v>
      </c>
      <c r="Y125">
        <v>4798.3</v>
      </c>
      <c r="Z125" s="103">
        <v>0</v>
      </c>
    </row>
    <row r="126" spans="1:26">
      <c r="A126">
        <v>20081105</v>
      </c>
      <c r="B126">
        <v>5080</v>
      </c>
      <c r="C126">
        <v>5100</v>
      </c>
      <c r="D126">
        <v>4893</v>
      </c>
      <c r="E126">
        <v>4900</v>
      </c>
      <c r="F126">
        <v>134168</v>
      </c>
      <c r="G126">
        <v>102</v>
      </c>
      <c r="H126">
        <v>-180</v>
      </c>
      <c r="I126">
        <v>0</v>
      </c>
      <c r="J126">
        <v>0</v>
      </c>
      <c r="K126">
        <v>0</v>
      </c>
      <c r="L126">
        <v>377</v>
      </c>
      <c r="M126">
        <v>0</v>
      </c>
      <c r="N126">
        <v>0</v>
      </c>
      <c r="O126">
        <v>0</v>
      </c>
      <c r="U126">
        <v>0</v>
      </c>
      <c r="V126">
        <v>0.4</v>
      </c>
      <c r="W126" s="103">
        <v>0</v>
      </c>
      <c r="X126">
        <v>4618.25</v>
      </c>
      <c r="Y126">
        <v>4771.05</v>
      </c>
      <c r="Z126" s="103">
        <v>0</v>
      </c>
    </row>
    <row r="127" spans="1:26">
      <c r="A127">
        <v>20081106</v>
      </c>
      <c r="B127">
        <v>4680</v>
      </c>
      <c r="C127">
        <v>4700</v>
      </c>
      <c r="D127">
        <v>4557</v>
      </c>
      <c r="E127">
        <v>4557</v>
      </c>
      <c r="F127">
        <v>61042</v>
      </c>
      <c r="G127">
        <v>-220</v>
      </c>
      <c r="H127">
        <v>-123</v>
      </c>
      <c r="I127">
        <v>0</v>
      </c>
      <c r="J127">
        <v>0</v>
      </c>
      <c r="K127">
        <v>0</v>
      </c>
      <c r="L127">
        <v>377</v>
      </c>
      <c r="M127">
        <v>0</v>
      </c>
      <c r="N127">
        <v>0</v>
      </c>
      <c r="O127">
        <v>0</v>
      </c>
      <c r="U127">
        <v>0</v>
      </c>
      <c r="V127">
        <v>0.4</v>
      </c>
      <c r="W127" s="103">
        <v>0</v>
      </c>
      <c r="X127">
        <v>4683.625</v>
      </c>
      <c r="Y127">
        <v>4743.3</v>
      </c>
      <c r="Z127" s="103">
        <v>0</v>
      </c>
    </row>
    <row r="128" spans="1:26">
      <c r="A128">
        <v>20081107</v>
      </c>
      <c r="B128">
        <v>4310</v>
      </c>
      <c r="C128">
        <v>4662</v>
      </c>
      <c r="D128">
        <v>4272</v>
      </c>
      <c r="E128">
        <v>4633</v>
      </c>
      <c r="F128">
        <v>167885</v>
      </c>
      <c r="G128">
        <v>-247</v>
      </c>
      <c r="H128">
        <v>323</v>
      </c>
      <c r="I128">
        <v>1</v>
      </c>
      <c r="J128">
        <v>0</v>
      </c>
      <c r="K128">
        <v>0</v>
      </c>
      <c r="L128">
        <v>377</v>
      </c>
      <c r="M128">
        <v>0</v>
      </c>
      <c r="N128">
        <v>0</v>
      </c>
      <c r="O128">
        <v>0</v>
      </c>
      <c r="U128">
        <v>1</v>
      </c>
      <c r="V128">
        <v>0.5</v>
      </c>
      <c r="W128" s="103">
        <v>0</v>
      </c>
      <c r="X128">
        <v>4723.25</v>
      </c>
      <c r="Y128">
        <v>4721.8500000000004</v>
      </c>
      <c r="Z128" s="103">
        <v>1</v>
      </c>
    </row>
    <row r="129" spans="1:26">
      <c r="A129">
        <v>20081110</v>
      </c>
      <c r="B129">
        <v>4658</v>
      </c>
      <c r="C129">
        <v>4692</v>
      </c>
      <c r="D129">
        <v>4551</v>
      </c>
      <c r="E129">
        <v>4632</v>
      </c>
      <c r="F129">
        <v>118290</v>
      </c>
      <c r="G129">
        <v>25</v>
      </c>
      <c r="H129">
        <v>-26</v>
      </c>
      <c r="I129">
        <v>0</v>
      </c>
      <c r="J129">
        <v>1</v>
      </c>
      <c r="K129">
        <v>-26</v>
      </c>
      <c r="L129">
        <v>351</v>
      </c>
      <c r="M129">
        <v>0</v>
      </c>
      <c r="N129">
        <v>4611.42</v>
      </c>
      <c r="O129">
        <v>4797.74</v>
      </c>
      <c r="U129">
        <v>0</v>
      </c>
      <c r="V129">
        <v>0.5</v>
      </c>
      <c r="W129" s="103">
        <v>0</v>
      </c>
      <c r="X129">
        <v>4766.25</v>
      </c>
      <c r="Y129">
        <v>4706.2</v>
      </c>
      <c r="Z129" s="103">
        <v>0</v>
      </c>
    </row>
    <row r="130" spans="1:26">
      <c r="A130">
        <v>20081111</v>
      </c>
      <c r="B130">
        <v>4477</v>
      </c>
      <c r="C130">
        <v>4645</v>
      </c>
      <c r="D130">
        <v>4465</v>
      </c>
      <c r="E130">
        <v>4474</v>
      </c>
      <c r="F130">
        <v>120642</v>
      </c>
      <c r="G130">
        <v>-155</v>
      </c>
      <c r="H130">
        <v>-3</v>
      </c>
      <c r="I130">
        <v>-1</v>
      </c>
      <c r="J130">
        <v>1</v>
      </c>
      <c r="K130">
        <v>-158</v>
      </c>
      <c r="L130">
        <v>193</v>
      </c>
      <c r="M130">
        <v>1</v>
      </c>
      <c r="N130">
        <v>0</v>
      </c>
      <c r="O130">
        <v>0</v>
      </c>
      <c r="U130">
        <v>0</v>
      </c>
      <c r="V130">
        <v>0.4</v>
      </c>
      <c r="W130" s="103">
        <v>0</v>
      </c>
      <c r="X130">
        <v>4751.25</v>
      </c>
      <c r="Y130">
        <v>4665.55</v>
      </c>
      <c r="Z130" s="103">
        <v>0</v>
      </c>
    </row>
    <row r="131" spans="1:26">
      <c r="A131">
        <v>20081112</v>
      </c>
      <c r="B131">
        <v>4488</v>
      </c>
      <c r="C131">
        <v>4596</v>
      </c>
      <c r="D131">
        <v>4420</v>
      </c>
      <c r="E131">
        <v>4521</v>
      </c>
      <c r="F131">
        <v>126301</v>
      </c>
      <c r="G131">
        <v>14</v>
      </c>
      <c r="H131">
        <v>33</v>
      </c>
      <c r="I131">
        <v>0</v>
      </c>
      <c r="J131">
        <v>0</v>
      </c>
      <c r="K131">
        <v>14</v>
      </c>
      <c r="L131">
        <v>207</v>
      </c>
      <c r="M131">
        <v>0</v>
      </c>
      <c r="N131">
        <v>0</v>
      </c>
      <c r="O131">
        <v>0</v>
      </c>
      <c r="U131">
        <v>1</v>
      </c>
      <c r="V131">
        <v>0.5</v>
      </c>
      <c r="W131" s="103">
        <v>0</v>
      </c>
      <c r="X131">
        <v>4710.875</v>
      </c>
      <c r="Y131">
        <v>4633.6000000000004</v>
      </c>
      <c r="Z131" s="103">
        <v>0</v>
      </c>
    </row>
    <row r="132" spans="1:26">
      <c r="A132">
        <v>20081113</v>
      </c>
      <c r="B132">
        <v>4305</v>
      </c>
      <c r="C132">
        <v>4331</v>
      </c>
      <c r="D132">
        <v>4206</v>
      </c>
      <c r="E132">
        <v>4285</v>
      </c>
      <c r="F132">
        <v>94643</v>
      </c>
      <c r="G132">
        <v>-216</v>
      </c>
      <c r="H132">
        <v>-20</v>
      </c>
      <c r="I132">
        <v>0</v>
      </c>
      <c r="J132">
        <v>0</v>
      </c>
      <c r="K132">
        <v>0</v>
      </c>
      <c r="L132">
        <v>207</v>
      </c>
      <c r="M132">
        <v>0</v>
      </c>
      <c r="N132">
        <v>0</v>
      </c>
      <c r="O132">
        <v>0</v>
      </c>
      <c r="U132">
        <v>0</v>
      </c>
      <c r="V132">
        <v>0.4</v>
      </c>
      <c r="W132" s="103">
        <v>0</v>
      </c>
      <c r="X132">
        <v>4622.5</v>
      </c>
      <c r="Y132">
        <v>4598.95</v>
      </c>
      <c r="Z132" s="103">
        <v>0</v>
      </c>
    </row>
    <row r="133" spans="1:26">
      <c r="A133">
        <v>20081114</v>
      </c>
      <c r="B133">
        <v>4499</v>
      </c>
      <c r="C133">
        <v>4514</v>
      </c>
      <c r="D133">
        <v>4345</v>
      </c>
      <c r="E133">
        <v>4380</v>
      </c>
      <c r="F133">
        <v>113760</v>
      </c>
      <c r="G133">
        <v>214</v>
      </c>
      <c r="H133">
        <v>-119</v>
      </c>
      <c r="I133">
        <v>-1</v>
      </c>
      <c r="J133">
        <v>0</v>
      </c>
      <c r="K133">
        <v>0</v>
      </c>
      <c r="L133">
        <v>207</v>
      </c>
      <c r="M133">
        <v>0</v>
      </c>
      <c r="N133">
        <v>0</v>
      </c>
      <c r="O133">
        <v>0</v>
      </c>
      <c r="U133">
        <v>1</v>
      </c>
      <c r="V133">
        <v>0.4</v>
      </c>
      <c r="W133" s="103">
        <v>0</v>
      </c>
      <c r="X133">
        <v>4547.75</v>
      </c>
      <c r="Y133">
        <v>4577.75</v>
      </c>
      <c r="Z133" s="103">
        <v>-1</v>
      </c>
    </row>
    <row r="134" spans="1:26">
      <c r="A134">
        <v>20081117</v>
      </c>
      <c r="B134">
        <v>4280</v>
      </c>
      <c r="C134">
        <v>4432</v>
      </c>
      <c r="D134">
        <v>4263</v>
      </c>
      <c r="E134">
        <v>4357</v>
      </c>
      <c r="F134">
        <v>103013</v>
      </c>
      <c r="G134">
        <v>-100</v>
      </c>
      <c r="H134">
        <v>77</v>
      </c>
      <c r="I134">
        <v>0</v>
      </c>
      <c r="J134">
        <v>-1</v>
      </c>
      <c r="K134">
        <v>-77</v>
      </c>
      <c r="L134">
        <v>130</v>
      </c>
      <c r="M134">
        <v>0</v>
      </c>
      <c r="N134">
        <v>4322.8</v>
      </c>
      <c r="O134">
        <v>4151.5999999999995</v>
      </c>
      <c r="U134">
        <v>0</v>
      </c>
      <c r="V134">
        <v>0.3</v>
      </c>
      <c r="W134" s="103">
        <v>0</v>
      </c>
      <c r="X134">
        <v>4479.875</v>
      </c>
      <c r="Y134">
        <v>4554.45</v>
      </c>
      <c r="Z134" s="103">
        <v>0</v>
      </c>
    </row>
    <row r="135" spans="1:26">
      <c r="A135">
        <v>20081118</v>
      </c>
      <c r="B135">
        <v>4351</v>
      </c>
      <c r="C135">
        <v>4351</v>
      </c>
      <c r="D135">
        <v>4207</v>
      </c>
      <c r="E135">
        <v>4244</v>
      </c>
      <c r="F135">
        <v>97510</v>
      </c>
      <c r="G135">
        <v>-6</v>
      </c>
      <c r="H135">
        <v>-107</v>
      </c>
      <c r="I135">
        <v>1</v>
      </c>
      <c r="J135">
        <v>-1</v>
      </c>
      <c r="K135">
        <v>113</v>
      </c>
      <c r="L135">
        <v>243</v>
      </c>
      <c r="M135">
        <v>3</v>
      </c>
      <c r="N135">
        <v>0</v>
      </c>
      <c r="O135">
        <v>0</v>
      </c>
      <c r="U135">
        <v>0</v>
      </c>
      <c r="V135">
        <v>0.3</v>
      </c>
      <c r="W135" s="103">
        <v>0</v>
      </c>
      <c r="X135">
        <v>4440.75</v>
      </c>
      <c r="Y135">
        <v>4525.8</v>
      </c>
      <c r="Z135" s="103">
        <v>0</v>
      </c>
    </row>
    <row r="136" spans="1:26">
      <c r="A136">
        <v>20081119</v>
      </c>
      <c r="B136">
        <v>4111</v>
      </c>
      <c r="C136">
        <v>4165</v>
      </c>
      <c r="D136">
        <v>4070</v>
      </c>
      <c r="E136">
        <v>4149</v>
      </c>
      <c r="F136">
        <v>47938</v>
      </c>
      <c r="G136">
        <v>-133</v>
      </c>
      <c r="H136">
        <v>38</v>
      </c>
      <c r="I136">
        <v>0</v>
      </c>
      <c r="J136">
        <v>0</v>
      </c>
      <c r="K136">
        <v>133</v>
      </c>
      <c r="L136">
        <v>376</v>
      </c>
      <c r="M136">
        <v>0</v>
      </c>
      <c r="N136">
        <v>0</v>
      </c>
      <c r="O136">
        <v>0</v>
      </c>
      <c r="U136">
        <v>0</v>
      </c>
      <c r="V136">
        <v>0.3</v>
      </c>
      <c r="W136" s="103">
        <v>0</v>
      </c>
      <c r="X136">
        <v>4380.25</v>
      </c>
      <c r="Y136">
        <v>4500.45</v>
      </c>
      <c r="Z136" s="103">
        <v>0</v>
      </c>
    </row>
    <row r="137" spans="1:26">
      <c r="A137">
        <v>20081120</v>
      </c>
      <c r="B137">
        <v>3953</v>
      </c>
      <c r="C137">
        <v>4027</v>
      </c>
      <c r="D137">
        <v>3866</v>
      </c>
      <c r="E137">
        <v>3903</v>
      </c>
      <c r="F137">
        <v>90469</v>
      </c>
      <c r="G137">
        <v>-196</v>
      </c>
      <c r="H137">
        <v>-50</v>
      </c>
      <c r="I137">
        <v>0</v>
      </c>
      <c r="J137">
        <v>0</v>
      </c>
      <c r="K137">
        <v>0</v>
      </c>
      <c r="L137">
        <v>376</v>
      </c>
      <c r="M137">
        <v>0</v>
      </c>
      <c r="N137">
        <v>0</v>
      </c>
      <c r="O137">
        <v>0</v>
      </c>
      <c r="U137">
        <v>0</v>
      </c>
      <c r="V137">
        <v>0.3</v>
      </c>
      <c r="W137" s="103">
        <v>0</v>
      </c>
      <c r="X137">
        <v>4289.125</v>
      </c>
      <c r="Y137">
        <v>4470.8999999999996</v>
      </c>
      <c r="Z137" s="103">
        <v>0</v>
      </c>
    </row>
    <row r="138" spans="1:26">
      <c r="A138">
        <v>20081121</v>
      </c>
      <c r="B138">
        <v>3880</v>
      </c>
      <c r="C138">
        <v>4129</v>
      </c>
      <c r="D138">
        <v>3815</v>
      </c>
      <c r="E138">
        <v>4121</v>
      </c>
      <c r="F138">
        <v>125163</v>
      </c>
      <c r="G138">
        <v>-23</v>
      </c>
      <c r="H138">
        <v>241</v>
      </c>
      <c r="I138">
        <v>0</v>
      </c>
      <c r="J138">
        <v>0</v>
      </c>
      <c r="K138">
        <v>0</v>
      </c>
      <c r="L138">
        <v>376</v>
      </c>
      <c r="M138">
        <v>0</v>
      </c>
      <c r="N138">
        <v>0</v>
      </c>
      <c r="O138">
        <v>0</v>
      </c>
      <c r="U138">
        <v>1</v>
      </c>
      <c r="V138">
        <v>0.3</v>
      </c>
      <c r="W138" s="103">
        <v>0</v>
      </c>
      <c r="X138">
        <v>4245</v>
      </c>
      <c r="Y138">
        <v>4460.1000000000004</v>
      </c>
      <c r="Z138" s="103">
        <v>0</v>
      </c>
    </row>
    <row r="139" spans="1:26">
      <c r="A139">
        <v>20081124</v>
      </c>
      <c r="B139">
        <v>4081</v>
      </c>
      <c r="C139">
        <v>4108</v>
      </c>
      <c r="D139">
        <v>3972</v>
      </c>
      <c r="E139">
        <v>4045</v>
      </c>
      <c r="F139">
        <v>100402</v>
      </c>
      <c r="G139">
        <v>-40</v>
      </c>
      <c r="H139">
        <v>-36</v>
      </c>
      <c r="I139">
        <v>0</v>
      </c>
      <c r="J139">
        <v>0</v>
      </c>
      <c r="K139">
        <v>0</v>
      </c>
      <c r="L139">
        <v>376</v>
      </c>
      <c r="M139">
        <v>0</v>
      </c>
      <c r="N139">
        <v>0</v>
      </c>
      <c r="O139">
        <v>0</v>
      </c>
      <c r="U139">
        <v>0</v>
      </c>
      <c r="V139">
        <v>0.3</v>
      </c>
      <c r="W139" s="103">
        <v>0</v>
      </c>
      <c r="X139">
        <v>4185.5</v>
      </c>
      <c r="Y139">
        <v>4460.6499999999996</v>
      </c>
      <c r="Z139" s="103">
        <v>0</v>
      </c>
    </row>
    <row r="140" spans="1:26">
      <c r="A140">
        <v>20081125</v>
      </c>
      <c r="B140">
        <v>4222</v>
      </c>
      <c r="C140">
        <v>4285</v>
      </c>
      <c r="D140">
        <v>4112</v>
      </c>
      <c r="E140">
        <v>4199</v>
      </c>
      <c r="F140">
        <v>123507</v>
      </c>
      <c r="G140">
        <v>177</v>
      </c>
      <c r="H140">
        <v>-23</v>
      </c>
      <c r="I140">
        <v>0</v>
      </c>
      <c r="J140">
        <v>0</v>
      </c>
      <c r="K140">
        <v>0</v>
      </c>
      <c r="L140">
        <v>376</v>
      </c>
      <c r="M140">
        <v>0</v>
      </c>
      <c r="N140">
        <v>0</v>
      </c>
      <c r="O140">
        <v>0</v>
      </c>
      <c r="U140">
        <v>1</v>
      </c>
      <c r="V140">
        <v>0.4</v>
      </c>
      <c r="W140" s="103">
        <v>0</v>
      </c>
      <c r="X140">
        <v>4174.75</v>
      </c>
      <c r="Y140">
        <v>4454.8</v>
      </c>
      <c r="Z140" s="103">
        <v>0</v>
      </c>
    </row>
    <row r="141" spans="1:26">
      <c r="A141">
        <v>20081126</v>
      </c>
      <c r="B141">
        <v>4237</v>
      </c>
      <c r="C141">
        <v>4268</v>
      </c>
      <c r="D141">
        <v>4176</v>
      </c>
      <c r="E141">
        <v>4209</v>
      </c>
      <c r="F141">
        <v>107756</v>
      </c>
      <c r="G141">
        <v>38</v>
      </c>
      <c r="H141">
        <v>-28</v>
      </c>
      <c r="I141">
        <v>0</v>
      </c>
      <c r="J141">
        <v>0</v>
      </c>
      <c r="K141">
        <v>0</v>
      </c>
      <c r="L141">
        <v>376</v>
      </c>
      <c r="M141">
        <v>0</v>
      </c>
      <c r="N141">
        <v>0</v>
      </c>
      <c r="O141">
        <v>0</v>
      </c>
      <c r="U141">
        <v>1</v>
      </c>
      <c r="V141">
        <v>0.4</v>
      </c>
      <c r="W141" s="103">
        <v>0</v>
      </c>
      <c r="X141">
        <v>4153.375</v>
      </c>
      <c r="Y141">
        <v>4450.8500000000004</v>
      </c>
      <c r="Z141" s="103">
        <v>0</v>
      </c>
    </row>
    <row r="142" spans="1:26">
      <c r="A142">
        <v>20081127</v>
      </c>
      <c r="B142">
        <v>4330</v>
      </c>
      <c r="C142">
        <v>4488</v>
      </c>
      <c r="D142">
        <v>4292</v>
      </c>
      <c r="E142">
        <v>4430</v>
      </c>
      <c r="F142">
        <v>105391</v>
      </c>
      <c r="G142">
        <v>121</v>
      </c>
      <c r="H142">
        <v>100</v>
      </c>
      <c r="I142">
        <v>0</v>
      </c>
      <c r="J142">
        <v>0</v>
      </c>
      <c r="K142">
        <v>0</v>
      </c>
      <c r="L142">
        <v>376</v>
      </c>
      <c r="M142">
        <v>0</v>
      </c>
      <c r="N142">
        <v>0</v>
      </c>
      <c r="O142">
        <v>0</v>
      </c>
      <c r="U142">
        <v>1</v>
      </c>
      <c r="V142">
        <v>0.5</v>
      </c>
      <c r="W142" s="103">
        <v>0</v>
      </c>
      <c r="X142">
        <v>4162.5</v>
      </c>
      <c r="Y142">
        <v>4442.6499999999996</v>
      </c>
      <c r="Z142" s="103">
        <v>0</v>
      </c>
    </row>
    <row r="143" spans="1:26">
      <c r="A143">
        <v>20081128</v>
      </c>
      <c r="B143">
        <v>4435</v>
      </c>
      <c r="C143">
        <v>4465</v>
      </c>
      <c r="D143">
        <v>4388</v>
      </c>
      <c r="E143">
        <v>4460</v>
      </c>
      <c r="F143">
        <v>84211</v>
      </c>
      <c r="G143">
        <v>5</v>
      </c>
      <c r="H143">
        <v>25</v>
      </c>
      <c r="I143">
        <v>0</v>
      </c>
      <c r="J143">
        <v>0</v>
      </c>
      <c r="K143">
        <v>0</v>
      </c>
      <c r="L143">
        <v>376</v>
      </c>
      <c r="M143">
        <v>0</v>
      </c>
      <c r="N143">
        <v>0</v>
      </c>
      <c r="O143">
        <v>0</v>
      </c>
      <c r="U143">
        <v>1</v>
      </c>
      <c r="V143">
        <v>0.5</v>
      </c>
      <c r="W143" s="103">
        <v>0</v>
      </c>
      <c r="X143">
        <v>4189.5</v>
      </c>
      <c r="Y143">
        <v>4423.45</v>
      </c>
      <c r="Z143" s="103">
        <v>0</v>
      </c>
    </row>
    <row r="144" spans="1:26">
      <c r="A144">
        <v>20081201</v>
      </c>
      <c r="B144">
        <v>4420</v>
      </c>
      <c r="C144">
        <v>4580</v>
      </c>
      <c r="D144">
        <v>4389</v>
      </c>
      <c r="E144">
        <v>4501</v>
      </c>
      <c r="F144">
        <v>106517</v>
      </c>
      <c r="G144">
        <v>-40</v>
      </c>
      <c r="H144">
        <v>81</v>
      </c>
      <c r="I144">
        <v>-1</v>
      </c>
      <c r="J144">
        <v>0</v>
      </c>
      <c r="K144">
        <v>0</v>
      </c>
      <c r="L144">
        <v>376</v>
      </c>
      <c r="M144">
        <v>0</v>
      </c>
      <c r="N144">
        <v>0</v>
      </c>
      <c r="O144">
        <v>0</v>
      </c>
      <c r="U144">
        <v>1</v>
      </c>
      <c r="V144">
        <v>0.6</v>
      </c>
      <c r="W144" s="103">
        <v>-1</v>
      </c>
      <c r="X144">
        <v>4233.5</v>
      </c>
      <c r="Y144">
        <v>4398.8999999999996</v>
      </c>
      <c r="Z144" s="103">
        <v>0</v>
      </c>
    </row>
    <row r="145" spans="1:26">
      <c r="A145">
        <v>20081202</v>
      </c>
      <c r="B145">
        <v>4299</v>
      </c>
      <c r="C145">
        <v>4324</v>
      </c>
      <c r="D145">
        <v>4206</v>
      </c>
      <c r="E145">
        <v>4240</v>
      </c>
      <c r="F145">
        <v>89984</v>
      </c>
      <c r="G145">
        <v>-202</v>
      </c>
      <c r="H145">
        <v>-59</v>
      </c>
      <c r="I145">
        <v>-1</v>
      </c>
      <c r="J145">
        <v>-1</v>
      </c>
      <c r="K145">
        <v>59</v>
      </c>
      <c r="L145">
        <v>435</v>
      </c>
      <c r="M145">
        <v>0</v>
      </c>
      <c r="N145">
        <v>4341.99</v>
      </c>
      <c r="O145">
        <v>4170.03</v>
      </c>
      <c r="U145">
        <v>0</v>
      </c>
      <c r="V145">
        <v>0.6</v>
      </c>
      <c r="W145" s="103">
        <v>-1</v>
      </c>
      <c r="X145">
        <v>4275.625</v>
      </c>
      <c r="Y145">
        <v>4362</v>
      </c>
      <c r="Z145" s="103">
        <v>0</v>
      </c>
    </row>
    <row r="146" spans="1:26">
      <c r="A146">
        <v>20081203</v>
      </c>
      <c r="B146">
        <v>4268</v>
      </c>
      <c r="C146">
        <v>4306</v>
      </c>
      <c r="D146">
        <v>4186</v>
      </c>
      <c r="E146">
        <v>4188</v>
      </c>
      <c r="F146">
        <v>94456</v>
      </c>
      <c r="G146">
        <v>28</v>
      </c>
      <c r="H146">
        <v>-80</v>
      </c>
      <c r="I146">
        <v>-1</v>
      </c>
      <c r="J146">
        <v>-1</v>
      </c>
      <c r="K146">
        <v>52</v>
      </c>
      <c r="L146">
        <v>487</v>
      </c>
      <c r="M146">
        <v>0</v>
      </c>
      <c r="N146">
        <v>0</v>
      </c>
      <c r="O146">
        <v>0</v>
      </c>
      <c r="U146">
        <v>0</v>
      </c>
      <c r="V146">
        <v>0.6</v>
      </c>
      <c r="W146" s="103">
        <v>-1</v>
      </c>
      <c r="X146">
        <v>4284</v>
      </c>
      <c r="Y146">
        <v>4326.3999999999996</v>
      </c>
      <c r="Z146" s="103">
        <v>0</v>
      </c>
    </row>
    <row r="147" spans="1:26">
      <c r="A147">
        <v>20081204</v>
      </c>
      <c r="B147">
        <v>4246</v>
      </c>
      <c r="C147">
        <v>4284</v>
      </c>
      <c r="D147">
        <v>4100</v>
      </c>
      <c r="E147">
        <v>4139</v>
      </c>
      <c r="F147">
        <v>101059</v>
      </c>
      <c r="G147">
        <v>58</v>
      </c>
      <c r="H147">
        <v>-107</v>
      </c>
      <c r="I147">
        <v>-1</v>
      </c>
      <c r="J147">
        <v>-1</v>
      </c>
      <c r="K147">
        <v>49</v>
      </c>
      <c r="L147">
        <v>536</v>
      </c>
      <c r="M147">
        <v>0</v>
      </c>
      <c r="N147">
        <v>0</v>
      </c>
      <c r="O147">
        <v>0</v>
      </c>
      <c r="U147">
        <v>0</v>
      </c>
      <c r="V147">
        <v>0.6</v>
      </c>
      <c r="W147" s="103">
        <v>-1</v>
      </c>
      <c r="X147">
        <v>4295.75</v>
      </c>
      <c r="Y147">
        <v>4305.5</v>
      </c>
      <c r="Z147" s="103">
        <v>0</v>
      </c>
    </row>
    <row r="148" spans="1:26">
      <c r="A148">
        <v>20081205</v>
      </c>
      <c r="B148">
        <v>4170</v>
      </c>
      <c r="C148">
        <v>4202</v>
      </c>
      <c r="D148">
        <v>4103</v>
      </c>
      <c r="E148">
        <v>4179</v>
      </c>
      <c r="F148">
        <v>91680</v>
      </c>
      <c r="G148">
        <v>31</v>
      </c>
      <c r="H148">
        <v>9</v>
      </c>
      <c r="I148">
        <v>1</v>
      </c>
      <c r="J148">
        <v>-1</v>
      </c>
      <c r="K148">
        <v>-40</v>
      </c>
      <c r="L148">
        <v>496</v>
      </c>
      <c r="M148">
        <v>4</v>
      </c>
      <c r="N148">
        <v>0</v>
      </c>
      <c r="O148">
        <v>0</v>
      </c>
      <c r="U148">
        <v>1</v>
      </c>
      <c r="V148">
        <v>0.6</v>
      </c>
      <c r="W148" s="103">
        <v>-1</v>
      </c>
      <c r="X148">
        <v>4293.25</v>
      </c>
      <c r="Y148">
        <v>4282.8</v>
      </c>
      <c r="Z148" s="103">
        <v>1</v>
      </c>
    </row>
    <row r="149" spans="1:26">
      <c r="A149">
        <v>20081208</v>
      </c>
      <c r="B149">
        <v>4245</v>
      </c>
      <c r="C149">
        <v>4471</v>
      </c>
      <c r="D149">
        <v>4231</v>
      </c>
      <c r="E149">
        <v>4471</v>
      </c>
      <c r="F149">
        <v>92030</v>
      </c>
      <c r="G149">
        <v>66</v>
      </c>
      <c r="H149">
        <v>226</v>
      </c>
      <c r="I149">
        <v>-1</v>
      </c>
      <c r="J149">
        <v>0</v>
      </c>
      <c r="K149">
        <v>-66</v>
      </c>
      <c r="L149">
        <v>430</v>
      </c>
      <c r="M149">
        <v>0</v>
      </c>
      <c r="N149">
        <v>0</v>
      </c>
      <c r="O149">
        <v>0</v>
      </c>
      <c r="U149">
        <v>1</v>
      </c>
      <c r="V149">
        <v>0.7</v>
      </c>
      <c r="W149" s="103">
        <v>-1</v>
      </c>
      <c r="X149">
        <v>4326</v>
      </c>
      <c r="Y149">
        <v>4274.75</v>
      </c>
      <c r="Z149" s="103">
        <v>0</v>
      </c>
    </row>
    <row r="150" spans="1:26">
      <c r="A150">
        <v>20081209</v>
      </c>
      <c r="B150">
        <v>4495</v>
      </c>
      <c r="C150">
        <v>4546</v>
      </c>
      <c r="D150">
        <v>4432</v>
      </c>
      <c r="E150">
        <v>4460</v>
      </c>
      <c r="F150">
        <v>107827</v>
      </c>
      <c r="G150">
        <v>24</v>
      </c>
      <c r="H150">
        <v>-35</v>
      </c>
      <c r="I150">
        <v>-1</v>
      </c>
      <c r="J150">
        <v>-1</v>
      </c>
      <c r="K150">
        <v>35</v>
      </c>
      <c r="L150">
        <v>465</v>
      </c>
      <c r="M150">
        <v>0</v>
      </c>
      <c r="N150">
        <v>4539.95</v>
      </c>
      <c r="O150">
        <v>4360.1499999999996</v>
      </c>
      <c r="U150">
        <v>0</v>
      </c>
      <c r="V150">
        <v>0.6</v>
      </c>
      <c r="W150" s="103">
        <v>-1</v>
      </c>
      <c r="X150">
        <v>4329.75</v>
      </c>
      <c r="Y150">
        <v>4274.05</v>
      </c>
      <c r="Z150" s="103">
        <v>0</v>
      </c>
    </row>
    <row r="151" spans="1:26">
      <c r="A151">
        <v>20081210</v>
      </c>
      <c r="B151">
        <v>4486</v>
      </c>
      <c r="C151">
        <v>4724</v>
      </c>
      <c r="D151">
        <v>4471</v>
      </c>
      <c r="E151">
        <v>4691</v>
      </c>
      <c r="F151">
        <v>113641</v>
      </c>
      <c r="G151">
        <v>26</v>
      </c>
      <c r="H151">
        <v>205</v>
      </c>
      <c r="I151">
        <v>-1</v>
      </c>
      <c r="J151">
        <v>-1</v>
      </c>
      <c r="K151">
        <v>-231</v>
      </c>
      <c r="L151">
        <v>234</v>
      </c>
      <c r="M151">
        <v>0</v>
      </c>
      <c r="N151">
        <v>0</v>
      </c>
      <c r="O151">
        <v>0</v>
      </c>
      <c r="U151">
        <v>1</v>
      </c>
      <c r="V151">
        <v>0.6</v>
      </c>
      <c r="W151" s="103">
        <v>-1</v>
      </c>
      <c r="X151">
        <v>4358.625</v>
      </c>
      <c r="Y151">
        <v>4282.55</v>
      </c>
      <c r="Z151" s="103">
        <v>0</v>
      </c>
    </row>
    <row r="152" spans="1:26">
      <c r="A152">
        <v>20081211</v>
      </c>
      <c r="B152">
        <v>4651</v>
      </c>
      <c r="C152">
        <v>4704</v>
      </c>
      <c r="D152">
        <v>4625</v>
      </c>
      <c r="E152">
        <v>4666</v>
      </c>
      <c r="F152">
        <v>95881</v>
      </c>
      <c r="G152">
        <v>-40</v>
      </c>
      <c r="H152">
        <v>15</v>
      </c>
      <c r="I152">
        <v>1</v>
      </c>
      <c r="J152">
        <v>-1</v>
      </c>
      <c r="K152">
        <v>25</v>
      </c>
      <c r="L152">
        <v>259</v>
      </c>
      <c r="M152">
        <v>3</v>
      </c>
      <c r="N152">
        <v>0</v>
      </c>
      <c r="O152">
        <v>0</v>
      </c>
      <c r="U152">
        <v>0</v>
      </c>
      <c r="V152">
        <v>0.5</v>
      </c>
      <c r="W152" s="103">
        <v>0</v>
      </c>
      <c r="X152">
        <v>4379.25</v>
      </c>
      <c r="Y152">
        <v>4301.6000000000004</v>
      </c>
      <c r="Z152" s="103">
        <v>0</v>
      </c>
    </row>
    <row r="153" spans="1:26">
      <c r="A153">
        <v>20081212</v>
      </c>
      <c r="B153">
        <v>4570</v>
      </c>
      <c r="C153">
        <v>4643</v>
      </c>
      <c r="D153">
        <v>4343</v>
      </c>
      <c r="E153">
        <v>4425</v>
      </c>
      <c r="F153">
        <v>119805</v>
      </c>
      <c r="G153">
        <v>-96</v>
      </c>
      <c r="H153">
        <v>-145</v>
      </c>
      <c r="I153">
        <v>0</v>
      </c>
      <c r="J153">
        <v>0</v>
      </c>
      <c r="K153">
        <v>96</v>
      </c>
      <c r="L153">
        <v>355</v>
      </c>
      <c r="M153">
        <v>0</v>
      </c>
      <c r="N153">
        <v>0</v>
      </c>
      <c r="O153">
        <v>0</v>
      </c>
      <c r="U153">
        <v>0</v>
      </c>
      <c r="V153">
        <v>0.4</v>
      </c>
      <c r="W153" s="103">
        <v>0</v>
      </c>
      <c r="X153">
        <v>4402.375</v>
      </c>
      <c r="Y153">
        <v>4303.8500000000004</v>
      </c>
      <c r="Z153" s="103">
        <v>0</v>
      </c>
    </row>
    <row r="154" spans="1:26">
      <c r="A154">
        <v>20081215</v>
      </c>
      <c r="B154">
        <v>4615</v>
      </c>
      <c r="C154">
        <v>4718</v>
      </c>
      <c r="D154">
        <v>4553</v>
      </c>
      <c r="E154">
        <v>4610</v>
      </c>
      <c r="F154">
        <v>107596</v>
      </c>
      <c r="G154">
        <v>190</v>
      </c>
      <c r="H154">
        <v>-5</v>
      </c>
      <c r="I154">
        <v>0</v>
      </c>
      <c r="J154">
        <v>0</v>
      </c>
      <c r="K154">
        <v>0</v>
      </c>
      <c r="L154">
        <v>355</v>
      </c>
      <c r="M154">
        <v>0</v>
      </c>
      <c r="N154">
        <v>0</v>
      </c>
      <c r="O154">
        <v>0</v>
      </c>
      <c r="U154">
        <v>1</v>
      </c>
      <c r="V154">
        <v>0.4</v>
      </c>
      <c r="W154" s="103">
        <v>0</v>
      </c>
      <c r="X154">
        <v>4455.125</v>
      </c>
      <c r="Y154">
        <v>4316.5</v>
      </c>
      <c r="Z154" s="103">
        <v>0</v>
      </c>
    </row>
    <row r="155" spans="1:26">
      <c r="A155">
        <v>20081216</v>
      </c>
      <c r="B155">
        <v>4549</v>
      </c>
      <c r="C155">
        <v>4614</v>
      </c>
      <c r="D155">
        <v>4521</v>
      </c>
      <c r="E155">
        <v>4585</v>
      </c>
      <c r="F155">
        <v>78144</v>
      </c>
      <c r="G155">
        <v>-61</v>
      </c>
      <c r="H155">
        <v>36</v>
      </c>
      <c r="I155">
        <v>0</v>
      </c>
      <c r="J155">
        <v>0</v>
      </c>
      <c r="K155">
        <v>0</v>
      </c>
      <c r="L155">
        <v>355</v>
      </c>
      <c r="M155">
        <v>0</v>
      </c>
      <c r="N155">
        <v>0</v>
      </c>
      <c r="O155">
        <v>0</v>
      </c>
      <c r="U155">
        <v>0</v>
      </c>
      <c r="V155">
        <v>0.4</v>
      </c>
      <c r="W155" s="103">
        <v>0</v>
      </c>
      <c r="X155">
        <v>4510.875</v>
      </c>
      <c r="Y155">
        <v>4333.55</v>
      </c>
      <c r="Z155" s="103">
        <v>0</v>
      </c>
    </row>
    <row r="156" spans="1:26">
      <c r="A156">
        <v>20081217</v>
      </c>
      <c r="B156">
        <v>4671</v>
      </c>
      <c r="C156">
        <v>4720</v>
      </c>
      <c r="D156">
        <v>4585</v>
      </c>
      <c r="E156">
        <v>4623</v>
      </c>
      <c r="F156">
        <v>60082</v>
      </c>
      <c r="G156">
        <v>86</v>
      </c>
      <c r="H156">
        <v>-48</v>
      </c>
      <c r="I156">
        <v>0</v>
      </c>
      <c r="J156">
        <v>0</v>
      </c>
      <c r="K156">
        <v>0</v>
      </c>
      <c r="L156">
        <v>355</v>
      </c>
      <c r="M156">
        <v>0</v>
      </c>
      <c r="N156">
        <v>0</v>
      </c>
      <c r="O156">
        <v>0</v>
      </c>
      <c r="U156">
        <v>1</v>
      </c>
      <c r="V156">
        <v>0.5</v>
      </c>
      <c r="W156" s="103">
        <v>0</v>
      </c>
      <c r="X156">
        <v>4566.375</v>
      </c>
      <c r="Y156">
        <v>4357.25</v>
      </c>
      <c r="Z156" s="103">
        <v>0</v>
      </c>
    </row>
    <row r="157" spans="1:26">
      <c r="A157">
        <v>20081218</v>
      </c>
      <c r="B157">
        <v>4680</v>
      </c>
      <c r="C157">
        <v>4705</v>
      </c>
      <c r="D157">
        <v>4596</v>
      </c>
      <c r="E157">
        <v>4699</v>
      </c>
      <c r="F157">
        <v>87267</v>
      </c>
      <c r="G157">
        <v>57</v>
      </c>
      <c r="H157">
        <v>19</v>
      </c>
      <c r="I157">
        <v>-1</v>
      </c>
      <c r="J157">
        <v>0</v>
      </c>
      <c r="K157">
        <v>0</v>
      </c>
      <c r="L157">
        <v>355</v>
      </c>
      <c r="M157">
        <v>0</v>
      </c>
      <c r="N157">
        <v>0</v>
      </c>
      <c r="O157">
        <v>0</v>
      </c>
      <c r="U157">
        <v>1</v>
      </c>
      <c r="V157">
        <v>0.6</v>
      </c>
      <c r="W157" s="103">
        <v>-1</v>
      </c>
      <c r="X157">
        <v>4594.875</v>
      </c>
      <c r="Y157">
        <v>4397.05</v>
      </c>
      <c r="Z157" s="103">
        <v>0</v>
      </c>
    </row>
    <row r="158" spans="1:26">
      <c r="A158">
        <v>20081219</v>
      </c>
      <c r="B158">
        <v>4662</v>
      </c>
      <c r="C158">
        <v>4724</v>
      </c>
      <c r="D158">
        <v>4582</v>
      </c>
      <c r="E158">
        <v>4680</v>
      </c>
      <c r="F158">
        <v>108922</v>
      </c>
      <c r="G158">
        <v>-37</v>
      </c>
      <c r="H158">
        <v>18</v>
      </c>
      <c r="I158">
        <v>0</v>
      </c>
      <c r="J158">
        <v>-1</v>
      </c>
      <c r="K158">
        <v>-18</v>
      </c>
      <c r="L158">
        <v>337</v>
      </c>
      <c r="M158">
        <v>0</v>
      </c>
      <c r="N158">
        <v>4708.62</v>
      </c>
      <c r="O158">
        <v>4522.1400000000003</v>
      </c>
      <c r="U158">
        <v>0</v>
      </c>
      <c r="V158">
        <v>0.5</v>
      </c>
      <c r="W158" s="103">
        <v>0</v>
      </c>
      <c r="X158">
        <v>4622.375</v>
      </c>
      <c r="Y158">
        <v>4425</v>
      </c>
      <c r="Z158" s="103">
        <v>0</v>
      </c>
    </row>
    <row r="159" spans="1:26">
      <c r="A159">
        <v>20081222</v>
      </c>
      <c r="B159">
        <v>4720</v>
      </c>
      <c r="C159">
        <v>4755</v>
      </c>
      <c r="D159">
        <v>4498</v>
      </c>
      <c r="E159">
        <v>4529</v>
      </c>
      <c r="F159">
        <v>100130</v>
      </c>
      <c r="G159">
        <v>40</v>
      </c>
      <c r="H159">
        <v>-191</v>
      </c>
      <c r="I159">
        <v>1</v>
      </c>
      <c r="J159">
        <v>-1</v>
      </c>
      <c r="K159">
        <v>151</v>
      </c>
      <c r="L159">
        <v>488</v>
      </c>
      <c r="M159">
        <v>3</v>
      </c>
      <c r="N159">
        <v>0</v>
      </c>
      <c r="O159">
        <v>0</v>
      </c>
      <c r="U159">
        <v>0</v>
      </c>
      <c r="V159">
        <v>0.4</v>
      </c>
      <c r="W159" s="103">
        <v>0</v>
      </c>
      <c r="X159">
        <v>4602.125</v>
      </c>
      <c r="Y159">
        <v>4449.2</v>
      </c>
      <c r="Z159" s="103">
        <v>0</v>
      </c>
    </row>
    <row r="160" spans="1:26">
      <c r="A160">
        <v>20081223</v>
      </c>
      <c r="B160">
        <v>4507</v>
      </c>
      <c r="C160">
        <v>4524</v>
      </c>
      <c r="D160">
        <v>4290</v>
      </c>
      <c r="E160">
        <v>4349</v>
      </c>
      <c r="F160">
        <v>104865</v>
      </c>
      <c r="G160">
        <v>-22</v>
      </c>
      <c r="H160">
        <v>-158</v>
      </c>
      <c r="I160">
        <v>0</v>
      </c>
      <c r="J160">
        <v>0</v>
      </c>
      <c r="K160">
        <v>22</v>
      </c>
      <c r="L160">
        <v>510</v>
      </c>
      <c r="M160">
        <v>0</v>
      </c>
      <c r="N160">
        <v>0</v>
      </c>
      <c r="O160">
        <v>0</v>
      </c>
      <c r="U160">
        <v>0</v>
      </c>
      <c r="V160">
        <v>0.4</v>
      </c>
      <c r="W160" s="103">
        <v>0</v>
      </c>
      <c r="X160">
        <v>4562.5</v>
      </c>
      <c r="Y160">
        <v>4456.7</v>
      </c>
      <c r="Z160" s="103">
        <v>0</v>
      </c>
    </row>
    <row r="161" spans="1:26">
      <c r="A161">
        <v>20081224</v>
      </c>
      <c r="B161">
        <v>4310</v>
      </c>
      <c r="C161">
        <v>4399</v>
      </c>
      <c r="D161">
        <v>4241</v>
      </c>
      <c r="E161">
        <v>4379</v>
      </c>
      <c r="F161">
        <v>103165</v>
      </c>
      <c r="G161">
        <v>-39</v>
      </c>
      <c r="H161">
        <v>69</v>
      </c>
      <c r="I161">
        <v>0</v>
      </c>
      <c r="J161">
        <v>0</v>
      </c>
      <c r="K161">
        <v>0</v>
      </c>
      <c r="L161">
        <v>510</v>
      </c>
      <c r="M161">
        <v>0</v>
      </c>
      <c r="N161">
        <v>0</v>
      </c>
      <c r="O161">
        <v>0</v>
      </c>
      <c r="U161">
        <v>1</v>
      </c>
      <c r="V161">
        <v>0.4</v>
      </c>
      <c r="W161" s="103">
        <v>0</v>
      </c>
      <c r="X161">
        <v>4556.75</v>
      </c>
      <c r="Y161">
        <v>4465.2</v>
      </c>
      <c r="Z161" s="103">
        <v>0</v>
      </c>
    </row>
    <row r="162" spans="1:26">
      <c r="A162">
        <v>20081225</v>
      </c>
      <c r="B162">
        <v>4380</v>
      </c>
      <c r="C162">
        <v>4405</v>
      </c>
      <c r="D162">
        <v>4330</v>
      </c>
      <c r="E162">
        <v>4405</v>
      </c>
      <c r="F162">
        <v>43402</v>
      </c>
      <c r="G162">
        <v>1</v>
      </c>
      <c r="H162">
        <v>25</v>
      </c>
      <c r="I162">
        <v>0</v>
      </c>
      <c r="J162">
        <v>0</v>
      </c>
      <c r="K162">
        <v>0</v>
      </c>
      <c r="L162">
        <v>510</v>
      </c>
      <c r="M162">
        <v>0</v>
      </c>
      <c r="N162">
        <v>0</v>
      </c>
      <c r="O162">
        <v>0</v>
      </c>
      <c r="U162">
        <v>1</v>
      </c>
      <c r="V162">
        <v>0.5</v>
      </c>
      <c r="W162" s="103">
        <v>0</v>
      </c>
      <c r="X162">
        <v>4531.125</v>
      </c>
      <c r="Y162">
        <v>4463.95</v>
      </c>
      <c r="Z162" s="103">
        <v>0</v>
      </c>
    </row>
    <row r="163" spans="1:26">
      <c r="A163">
        <v>20081226</v>
      </c>
      <c r="B163">
        <v>4372</v>
      </c>
      <c r="C163">
        <v>4445</v>
      </c>
      <c r="D163">
        <v>4339</v>
      </c>
      <c r="E163">
        <v>4378</v>
      </c>
      <c r="F163">
        <v>68148</v>
      </c>
      <c r="G163">
        <v>-33</v>
      </c>
      <c r="H163">
        <v>6</v>
      </c>
      <c r="I163">
        <v>0</v>
      </c>
      <c r="J163">
        <v>0</v>
      </c>
      <c r="K163">
        <v>0</v>
      </c>
      <c r="L163">
        <v>510</v>
      </c>
      <c r="M163">
        <v>0</v>
      </c>
      <c r="N163">
        <v>0</v>
      </c>
      <c r="O163">
        <v>0</v>
      </c>
      <c r="U163">
        <v>0</v>
      </c>
      <c r="V163">
        <v>0.5</v>
      </c>
      <c r="W163" s="103">
        <v>0</v>
      </c>
      <c r="X163">
        <v>4505.25</v>
      </c>
      <c r="Y163">
        <v>4459.8500000000004</v>
      </c>
      <c r="Z163" s="103">
        <v>0</v>
      </c>
    </row>
    <row r="164" spans="1:26">
      <c r="A164">
        <v>20081229</v>
      </c>
      <c r="B164">
        <v>4366</v>
      </c>
      <c r="C164">
        <v>4399</v>
      </c>
      <c r="D164">
        <v>4316</v>
      </c>
      <c r="E164">
        <v>4386</v>
      </c>
      <c r="F164">
        <v>47046</v>
      </c>
      <c r="G164">
        <v>-12</v>
      </c>
      <c r="H164">
        <v>20</v>
      </c>
      <c r="I164">
        <v>0</v>
      </c>
      <c r="J164">
        <v>0</v>
      </c>
      <c r="K164">
        <v>0</v>
      </c>
      <c r="L164">
        <v>510</v>
      </c>
      <c r="M164">
        <v>0</v>
      </c>
      <c r="N164">
        <v>0</v>
      </c>
      <c r="O164">
        <v>0</v>
      </c>
      <c r="U164">
        <v>1</v>
      </c>
      <c r="V164">
        <v>0.5</v>
      </c>
      <c r="W164" s="103">
        <v>0</v>
      </c>
      <c r="X164">
        <v>4475.625</v>
      </c>
      <c r="Y164">
        <v>4454.1000000000004</v>
      </c>
      <c r="Z164" s="103">
        <v>0</v>
      </c>
    </row>
    <row r="165" spans="1:26">
      <c r="A165">
        <v>20081230</v>
      </c>
      <c r="B165">
        <v>4429</v>
      </c>
      <c r="C165">
        <v>4605</v>
      </c>
      <c r="D165">
        <v>4422</v>
      </c>
      <c r="E165">
        <v>4565</v>
      </c>
      <c r="F165">
        <v>71659</v>
      </c>
      <c r="G165">
        <v>43</v>
      </c>
      <c r="H165">
        <v>136</v>
      </c>
      <c r="I165">
        <v>-1</v>
      </c>
      <c r="J165">
        <v>0</v>
      </c>
      <c r="K165">
        <v>0</v>
      </c>
      <c r="L165">
        <v>510</v>
      </c>
      <c r="M165">
        <v>0</v>
      </c>
      <c r="N165">
        <v>0</v>
      </c>
      <c r="O165">
        <v>0</v>
      </c>
      <c r="U165">
        <v>1</v>
      </c>
      <c r="V165">
        <v>0.6</v>
      </c>
      <c r="W165" s="103">
        <v>-1</v>
      </c>
      <c r="X165">
        <v>4458.875</v>
      </c>
      <c r="Y165">
        <v>4470.3500000000004</v>
      </c>
      <c r="Z165" s="103">
        <v>-1</v>
      </c>
    </row>
    <row r="166" spans="1:26">
      <c r="A166">
        <v>20081231</v>
      </c>
      <c r="B166">
        <v>4605</v>
      </c>
      <c r="C166">
        <v>4614</v>
      </c>
      <c r="D166">
        <v>4485</v>
      </c>
      <c r="E166">
        <v>4540</v>
      </c>
      <c r="F166">
        <v>68206</v>
      </c>
      <c r="G166">
        <v>40</v>
      </c>
      <c r="H166">
        <v>-65</v>
      </c>
      <c r="I166">
        <v>0</v>
      </c>
      <c r="J166">
        <v>-1</v>
      </c>
      <c r="K166">
        <v>65</v>
      </c>
      <c r="L166">
        <v>575</v>
      </c>
      <c r="M166">
        <v>0</v>
      </c>
      <c r="N166">
        <v>4651.05</v>
      </c>
      <c r="O166">
        <v>4466.8499999999995</v>
      </c>
      <c r="U166">
        <v>0</v>
      </c>
      <c r="V166">
        <v>0.5</v>
      </c>
      <c r="W166" s="103">
        <v>0</v>
      </c>
      <c r="X166">
        <v>4441.375</v>
      </c>
      <c r="Y166">
        <v>4487.95</v>
      </c>
      <c r="Z166" s="103">
        <v>0</v>
      </c>
    </row>
    <row r="167" spans="1:26">
      <c r="A167">
        <v>20090105</v>
      </c>
      <c r="B167">
        <v>4722</v>
      </c>
      <c r="C167">
        <v>4797</v>
      </c>
      <c r="D167">
        <v>4634</v>
      </c>
      <c r="E167">
        <v>4670</v>
      </c>
      <c r="F167">
        <v>97869</v>
      </c>
      <c r="G167">
        <v>182</v>
      </c>
      <c r="H167">
        <v>-52</v>
      </c>
      <c r="I167">
        <v>1</v>
      </c>
      <c r="J167">
        <v>-1</v>
      </c>
      <c r="K167">
        <v>-130</v>
      </c>
      <c r="L167">
        <v>445</v>
      </c>
      <c r="M167">
        <v>3</v>
      </c>
      <c r="N167">
        <v>0</v>
      </c>
      <c r="O167">
        <v>0</v>
      </c>
      <c r="U167">
        <v>1</v>
      </c>
      <c r="V167">
        <v>0.5</v>
      </c>
      <c r="W167" s="103">
        <v>0</v>
      </c>
      <c r="X167">
        <v>4459</v>
      </c>
      <c r="Y167">
        <v>4514.5</v>
      </c>
      <c r="Z167" s="103">
        <v>0</v>
      </c>
    </row>
    <row r="168" spans="1:26">
      <c r="A168">
        <v>20090106</v>
      </c>
      <c r="B168">
        <v>4699</v>
      </c>
      <c r="C168">
        <v>4735</v>
      </c>
      <c r="D168">
        <v>4638</v>
      </c>
      <c r="E168">
        <v>4706</v>
      </c>
      <c r="F168">
        <v>90227</v>
      </c>
      <c r="G168">
        <v>29</v>
      </c>
      <c r="H168">
        <v>7</v>
      </c>
      <c r="I168">
        <v>-1</v>
      </c>
      <c r="J168">
        <v>0</v>
      </c>
      <c r="K168">
        <v>-29</v>
      </c>
      <c r="L168">
        <v>416</v>
      </c>
      <c r="M168">
        <v>0</v>
      </c>
      <c r="N168">
        <v>0</v>
      </c>
      <c r="O168">
        <v>0</v>
      </c>
      <c r="U168">
        <v>1</v>
      </c>
      <c r="V168">
        <v>0.6</v>
      </c>
      <c r="W168" s="103">
        <v>-1</v>
      </c>
      <c r="X168">
        <v>4503.625</v>
      </c>
      <c r="Y168">
        <v>4540.8500000000004</v>
      </c>
      <c r="Z168" s="103">
        <v>0</v>
      </c>
    </row>
    <row r="169" spans="1:26">
      <c r="A169">
        <v>20090107</v>
      </c>
      <c r="B169">
        <v>4758</v>
      </c>
      <c r="C169">
        <v>4802</v>
      </c>
      <c r="D169">
        <v>4711</v>
      </c>
      <c r="E169">
        <v>4752</v>
      </c>
      <c r="F169">
        <v>90777</v>
      </c>
      <c r="G169">
        <v>52</v>
      </c>
      <c r="H169">
        <v>-6</v>
      </c>
      <c r="I169">
        <v>-1</v>
      </c>
      <c r="J169">
        <v>-1</v>
      </c>
      <c r="K169">
        <v>6</v>
      </c>
      <c r="L169">
        <v>422</v>
      </c>
      <c r="M169">
        <v>0</v>
      </c>
      <c r="N169">
        <v>4805.58</v>
      </c>
      <c r="O169">
        <v>4615.26</v>
      </c>
      <c r="U169">
        <v>1</v>
      </c>
      <c r="V169">
        <v>0.7</v>
      </c>
      <c r="W169" s="103">
        <v>-1</v>
      </c>
      <c r="X169">
        <v>4550.25</v>
      </c>
      <c r="Y169">
        <v>4554.8999999999996</v>
      </c>
      <c r="Z169" s="103">
        <v>0</v>
      </c>
    </row>
    <row r="170" spans="1:26">
      <c r="A170">
        <v>20090108</v>
      </c>
      <c r="B170">
        <v>4650</v>
      </c>
      <c r="C170">
        <v>4650</v>
      </c>
      <c r="D170">
        <v>4434</v>
      </c>
      <c r="E170">
        <v>4452</v>
      </c>
      <c r="F170">
        <v>95219</v>
      </c>
      <c r="G170">
        <v>-102</v>
      </c>
      <c r="H170">
        <v>-198</v>
      </c>
      <c r="I170">
        <v>1</v>
      </c>
      <c r="J170">
        <v>-1</v>
      </c>
      <c r="K170">
        <v>300</v>
      </c>
      <c r="L170">
        <v>722</v>
      </c>
      <c r="M170">
        <v>0</v>
      </c>
      <c r="N170">
        <v>0</v>
      </c>
      <c r="O170">
        <v>0</v>
      </c>
      <c r="U170">
        <v>0</v>
      </c>
      <c r="V170">
        <v>0.7</v>
      </c>
      <c r="W170" s="103">
        <v>-1</v>
      </c>
      <c r="X170">
        <v>4556.125</v>
      </c>
      <c r="Y170">
        <v>4554.5</v>
      </c>
      <c r="Z170" s="103">
        <v>1</v>
      </c>
    </row>
    <row r="171" spans="1:26">
      <c r="A171">
        <v>20090109</v>
      </c>
      <c r="B171">
        <v>4447</v>
      </c>
      <c r="C171">
        <v>4495</v>
      </c>
      <c r="D171">
        <v>4405</v>
      </c>
      <c r="E171">
        <v>4421</v>
      </c>
      <c r="F171">
        <v>90292</v>
      </c>
      <c r="G171">
        <v>-5</v>
      </c>
      <c r="H171">
        <v>-26</v>
      </c>
      <c r="I171">
        <v>-1</v>
      </c>
      <c r="J171">
        <v>0</v>
      </c>
      <c r="K171">
        <v>5</v>
      </c>
      <c r="L171">
        <v>727</v>
      </c>
      <c r="M171">
        <v>0</v>
      </c>
      <c r="N171">
        <v>0</v>
      </c>
      <c r="O171">
        <v>0</v>
      </c>
      <c r="U171">
        <v>0</v>
      </c>
      <c r="V171">
        <v>0.6</v>
      </c>
      <c r="W171" s="103">
        <v>-1</v>
      </c>
      <c r="X171">
        <v>4561.5</v>
      </c>
      <c r="Y171">
        <v>4541</v>
      </c>
      <c r="Z171" s="103">
        <v>0</v>
      </c>
    </row>
    <row r="172" spans="1:26">
      <c r="A172">
        <v>20090110</v>
      </c>
      <c r="B172">
        <v>4362</v>
      </c>
      <c r="C172">
        <v>4425</v>
      </c>
      <c r="D172">
        <v>4344</v>
      </c>
      <c r="E172">
        <v>4374</v>
      </c>
      <c r="F172">
        <v>56091</v>
      </c>
      <c r="G172">
        <v>-59</v>
      </c>
      <c r="H172">
        <v>12</v>
      </c>
      <c r="I172">
        <v>0</v>
      </c>
      <c r="J172">
        <v>-1</v>
      </c>
      <c r="K172">
        <v>-12</v>
      </c>
      <c r="L172">
        <v>715</v>
      </c>
      <c r="M172">
        <v>0</v>
      </c>
      <c r="N172">
        <v>4405.62</v>
      </c>
      <c r="O172">
        <v>4231.1400000000003</v>
      </c>
      <c r="U172">
        <v>0</v>
      </c>
      <c r="V172">
        <v>0.5</v>
      </c>
      <c r="W172" s="103">
        <v>0</v>
      </c>
      <c r="X172">
        <v>4560</v>
      </c>
      <c r="Y172">
        <v>4526.3999999999996</v>
      </c>
      <c r="Z172" s="103">
        <v>0</v>
      </c>
    </row>
    <row r="173" spans="1:26">
      <c r="A173">
        <v>20090112</v>
      </c>
      <c r="B173">
        <v>4386</v>
      </c>
      <c r="C173">
        <v>4472</v>
      </c>
      <c r="D173">
        <v>4350</v>
      </c>
      <c r="E173">
        <v>4429</v>
      </c>
      <c r="F173">
        <v>93169</v>
      </c>
      <c r="G173">
        <v>12</v>
      </c>
      <c r="H173">
        <v>43</v>
      </c>
      <c r="I173">
        <v>-1</v>
      </c>
      <c r="J173">
        <v>-1</v>
      </c>
      <c r="K173">
        <v>-55</v>
      </c>
      <c r="L173">
        <v>660</v>
      </c>
      <c r="M173">
        <v>0</v>
      </c>
      <c r="N173">
        <v>0</v>
      </c>
      <c r="O173">
        <v>0</v>
      </c>
      <c r="U173">
        <v>1</v>
      </c>
      <c r="V173">
        <v>0.6</v>
      </c>
      <c r="W173" s="103">
        <v>-1</v>
      </c>
      <c r="X173">
        <v>4543</v>
      </c>
      <c r="Y173">
        <v>4526.6000000000004</v>
      </c>
      <c r="Z173" s="103">
        <v>0</v>
      </c>
    </row>
    <row r="174" spans="1:26">
      <c r="A174">
        <v>20090113</v>
      </c>
      <c r="B174">
        <v>4361</v>
      </c>
      <c r="C174">
        <v>4524</v>
      </c>
      <c r="D174">
        <v>4360</v>
      </c>
      <c r="E174">
        <v>4518</v>
      </c>
      <c r="F174">
        <v>93060</v>
      </c>
      <c r="G174">
        <v>-68</v>
      </c>
      <c r="H174">
        <v>157</v>
      </c>
      <c r="I174">
        <v>-1</v>
      </c>
      <c r="J174">
        <v>-1</v>
      </c>
      <c r="K174">
        <v>-89</v>
      </c>
      <c r="L174">
        <v>571</v>
      </c>
      <c r="M174">
        <v>0</v>
      </c>
      <c r="N174">
        <v>0</v>
      </c>
      <c r="O174">
        <v>0</v>
      </c>
      <c r="U174">
        <v>1</v>
      </c>
      <c r="V174">
        <v>0.6</v>
      </c>
      <c r="W174" s="103">
        <v>-1</v>
      </c>
      <c r="X174">
        <v>4540.25</v>
      </c>
      <c r="Y174">
        <v>4522</v>
      </c>
      <c r="Z174" s="103">
        <v>0</v>
      </c>
    </row>
    <row r="175" spans="1:26">
      <c r="A175">
        <v>20090114</v>
      </c>
      <c r="B175">
        <v>4490</v>
      </c>
      <c r="C175">
        <v>4552</v>
      </c>
      <c r="D175">
        <v>4478</v>
      </c>
      <c r="E175">
        <v>4510</v>
      </c>
      <c r="F175">
        <v>81258</v>
      </c>
      <c r="G175">
        <v>-28</v>
      </c>
      <c r="H175">
        <v>20</v>
      </c>
      <c r="I175">
        <v>1</v>
      </c>
      <c r="J175">
        <v>-1</v>
      </c>
      <c r="K175">
        <v>8</v>
      </c>
      <c r="L175">
        <v>579</v>
      </c>
      <c r="M175">
        <v>3</v>
      </c>
      <c r="N175">
        <v>0</v>
      </c>
      <c r="O175">
        <v>0</v>
      </c>
      <c r="U175">
        <v>0</v>
      </c>
      <c r="V175">
        <v>0.5</v>
      </c>
      <c r="W175" s="103">
        <v>0</v>
      </c>
      <c r="X175">
        <v>4520.25</v>
      </c>
      <c r="Y175">
        <v>4518.25</v>
      </c>
      <c r="Z175" s="103">
        <v>0</v>
      </c>
    </row>
    <row r="176" spans="1:26">
      <c r="A176">
        <v>20090115</v>
      </c>
      <c r="B176">
        <v>4222</v>
      </c>
      <c r="C176">
        <v>4300</v>
      </c>
      <c r="D176">
        <v>4222</v>
      </c>
      <c r="E176">
        <v>4239</v>
      </c>
      <c r="F176">
        <v>74394</v>
      </c>
      <c r="G176">
        <v>-288</v>
      </c>
      <c r="H176">
        <v>17</v>
      </c>
      <c r="I176">
        <v>-1</v>
      </c>
      <c r="J176">
        <v>0</v>
      </c>
      <c r="K176">
        <v>288</v>
      </c>
      <c r="L176">
        <v>867</v>
      </c>
      <c r="M176">
        <v>0</v>
      </c>
      <c r="N176">
        <v>0</v>
      </c>
      <c r="O176">
        <v>0</v>
      </c>
      <c r="U176">
        <v>0</v>
      </c>
      <c r="V176">
        <v>0.5</v>
      </c>
      <c r="W176" s="103">
        <v>0</v>
      </c>
      <c r="X176">
        <v>4461.875</v>
      </c>
      <c r="Y176">
        <v>4499.05</v>
      </c>
      <c r="Z176" s="103">
        <v>-1</v>
      </c>
    </row>
    <row r="177" spans="1:26">
      <c r="A177">
        <v>20090116</v>
      </c>
      <c r="B177">
        <v>4277</v>
      </c>
      <c r="C177">
        <v>4329</v>
      </c>
      <c r="D177">
        <v>4250</v>
      </c>
      <c r="E177">
        <v>4323</v>
      </c>
      <c r="F177">
        <v>76692</v>
      </c>
      <c r="G177">
        <v>38</v>
      </c>
      <c r="H177">
        <v>46</v>
      </c>
      <c r="I177">
        <v>0</v>
      </c>
      <c r="J177">
        <v>-1</v>
      </c>
      <c r="K177">
        <v>-46</v>
      </c>
      <c r="L177">
        <v>821</v>
      </c>
      <c r="M177">
        <v>0</v>
      </c>
      <c r="N177">
        <v>4319.7700000000004</v>
      </c>
      <c r="O177">
        <v>4148.6899999999996</v>
      </c>
      <c r="U177">
        <v>1</v>
      </c>
      <c r="V177">
        <v>0.5</v>
      </c>
      <c r="W177" s="103">
        <v>0</v>
      </c>
      <c r="X177">
        <v>4408.25</v>
      </c>
      <c r="Y177">
        <v>4480.25</v>
      </c>
      <c r="Z177" s="103">
        <v>0</v>
      </c>
    </row>
    <row r="178" spans="1:26">
      <c r="A178">
        <v>20090117</v>
      </c>
      <c r="B178">
        <v>4330</v>
      </c>
      <c r="C178">
        <v>4358</v>
      </c>
      <c r="D178">
        <v>4306</v>
      </c>
      <c r="E178">
        <v>4349</v>
      </c>
      <c r="F178">
        <v>38280</v>
      </c>
      <c r="G178">
        <v>7</v>
      </c>
      <c r="H178">
        <v>19</v>
      </c>
      <c r="I178">
        <v>1</v>
      </c>
      <c r="J178">
        <v>-1</v>
      </c>
      <c r="K178">
        <v>-26</v>
      </c>
      <c r="L178">
        <v>795</v>
      </c>
      <c r="M178">
        <v>3</v>
      </c>
      <c r="N178">
        <v>0</v>
      </c>
      <c r="O178">
        <v>0</v>
      </c>
      <c r="U178">
        <v>1</v>
      </c>
      <c r="V178">
        <v>0.5</v>
      </c>
      <c r="W178" s="103">
        <v>0</v>
      </c>
      <c r="X178">
        <v>4395.375</v>
      </c>
      <c r="Y178">
        <v>4463.7</v>
      </c>
      <c r="Z178" s="103">
        <v>0</v>
      </c>
    </row>
    <row r="179" spans="1:26">
      <c r="A179">
        <v>20090119</v>
      </c>
      <c r="B179">
        <v>4378</v>
      </c>
      <c r="C179">
        <v>4394</v>
      </c>
      <c r="D179">
        <v>4325</v>
      </c>
      <c r="E179">
        <v>4357</v>
      </c>
      <c r="F179">
        <v>48529</v>
      </c>
      <c r="G179">
        <v>29</v>
      </c>
      <c r="H179">
        <v>-21</v>
      </c>
      <c r="I179">
        <v>0</v>
      </c>
      <c r="J179">
        <v>0</v>
      </c>
      <c r="K179">
        <v>-29</v>
      </c>
      <c r="L179">
        <v>766</v>
      </c>
      <c r="M179">
        <v>0</v>
      </c>
      <c r="N179">
        <v>0</v>
      </c>
      <c r="O179">
        <v>0</v>
      </c>
      <c r="U179">
        <v>1</v>
      </c>
      <c r="V179">
        <v>0.5</v>
      </c>
      <c r="W179" s="103">
        <v>0</v>
      </c>
      <c r="X179">
        <v>4387.375</v>
      </c>
      <c r="Y179">
        <v>4455.1000000000004</v>
      </c>
      <c r="Z179" s="103">
        <v>0</v>
      </c>
    </row>
    <row r="180" spans="1:26">
      <c r="A180">
        <v>20090120</v>
      </c>
      <c r="B180">
        <v>4266</v>
      </c>
      <c r="C180">
        <v>4269</v>
      </c>
      <c r="D180">
        <v>4205</v>
      </c>
      <c r="E180">
        <v>4240</v>
      </c>
      <c r="F180">
        <v>43414</v>
      </c>
      <c r="G180">
        <v>-91</v>
      </c>
      <c r="H180">
        <v>-26</v>
      </c>
      <c r="I180">
        <v>0</v>
      </c>
      <c r="J180">
        <v>0</v>
      </c>
      <c r="K180">
        <v>0</v>
      </c>
      <c r="L180">
        <v>766</v>
      </c>
      <c r="M180">
        <v>0</v>
      </c>
      <c r="N180">
        <v>0</v>
      </c>
      <c r="O180">
        <v>0</v>
      </c>
      <c r="U180">
        <v>0</v>
      </c>
      <c r="V180">
        <v>0.5</v>
      </c>
      <c r="W180" s="103">
        <v>0</v>
      </c>
      <c r="X180">
        <v>4370.625</v>
      </c>
      <c r="Y180">
        <v>4449.6499999999996</v>
      </c>
      <c r="Z180" s="103">
        <v>0</v>
      </c>
    </row>
    <row r="181" spans="1:26">
      <c r="A181">
        <v>20090121</v>
      </c>
      <c r="B181">
        <v>4052</v>
      </c>
      <c r="C181">
        <v>4170</v>
      </c>
      <c r="D181">
        <v>4033</v>
      </c>
      <c r="E181">
        <v>4132</v>
      </c>
      <c r="F181">
        <v>42861</v>
      </c>
      <c r="G181">
        <v>-188</v>
      </c>
      <c r="H181">
        <v>80</v>
      </c>
      <c r="I181">
        <v>0</v>
      </c>
      <c r="J181">
        <v>0</v>
      </c>
      <c r="K181">
        <v>0</v>
      </c>
      <c r="L181">
        <v>766</v>
      </c>
      <c r="M181">
        <v>0</v>
      </c>
      <c r="N181">
        <v>0</v>
      </c>
      <c r="O181">
        <v>0</v>
      </c>
      <c r="U181">
        <v>0</v>
      </c>
      <c r="V181">
        <v>0.5</v>
      </c>
      <c r="W181" s="103">
        <v>0</v>
      </c>
      <c r="X181">
        <v>4333.5</v>
      </c>
      <c r="Y181">
        <v>4437.3</v>
      </c>
      <c r="Z181" s="103">
        <v>0</v>
      </c>
    </row>
    <row r="182" spans="1:26">
      <c r="A182">
        <v>20090202</v>
      </c>
      <c r="B182">
        <v>4199</v>
      </c>
      <c r="C182">
        <v>4199</v>
      </c>
      <c r="D182">
        <v>4106</v>
      </c>
      <c r="E182">
        <v>4161</v>
      </c>
      <c r="F182">
        <v>50688</v>
      </c>
      <c r="G182">
        <v>67</v>
      </c>
      <c r="H182">
        <v>-38</v>
      </c>
      <c r="I182">
        <v>-1</v>
      </c>
      <c r="J182">
        <v>0</v>
      </c>
      <c r="K182">
        <v>0</v>
      </c>
      <c r="L182">
        <v>766</v>
      </c>
      <c r="M182">
        <v>0</v>
      </c>
      <c r="N182">
        <v>0</v>
      </c>
      <c r="O182">
        <v>0</v>
      </c>
      <c r="U182">
        <v>1</v>
      </c>
      <c r="V182">
        <v>0.6</v>
      </c>
      <c r="W182" s="103">
        <v>-1</v>
      </c>
      <c r="X182">
        <v>4288.875</v>
      </c>
      <c r="Y182">
        <v>4425.1000000000004</v>
      </c>
      <c r="Z182" s="103">
        <v>0</v>
      </c>
    </row>
    <row r="183" spans="1:26">
      <c r="A183">
        <v>20090203</v>
      </c>
      <c r="B183">
        <v>4168</v>
      </c>
      <c r="C183">
        <v>4328</v>
      </c>
      <c r="D183">
        <v>4161</v>
      </c>
      <c r="E183">
        <v>4275</v>
      </c>
      <c r="F183">
        <v>77589</v>
      </c>
      <c r="G183">
        <v>7</v>
      </c>
      <c r="H183">
        <v>107</v>
      </c>
      <c r="I183">
        <v>-1</v>
      </c>
      <c r="J183">
        <v>-1</v>
      </c>
      <c r="K183">
        <v>-107</v>
      </c>
      <c r="L183">
        <v>659</v>
      </c>
      <c r="M183">
        <v>0</v>
      </c>
      <c r="N183">
        <v>4209.68</v>
      </c>
      <c r="O183">
        <v>4042.96</v>
      </c>
      <c r="U183">
        <v>1</v>
      </c>
      <c r="V183">
        <v>0.6</v>
      </c>
      <c r="W183" s="103">
        <v>-1</v>
      </c>
      <c r="X183">
        <v>4259.5</v>
      </c>
      <c r="Y183">
        <v>4419.95</v>
      </c>
      <c r="Z183" s="103">
        <v>0</v>
      </c>
    </row>
    <row r="184" spans="1:26">
      <c r="A184">
        <v>20090204</v>
      </c>
      <c r="B184">
        <v>4327</v>
      </c>
      <c r="C184">
        <v>4375</v>
      </c>
      <c r="D184">
        <v>4285</v>
      </c>
      <c r="E184">
        <v>4351</v>
      </c>
      <c r="F184">
        <v>68218</v>
      </c>
      <c r="G184">
        <v>52</v>
      </c>
      <c r="H184">
        <v>24</v>
      </c>
      <c r="I184">
        <v>1</v>
      </c>
      <c r="J184">
        <v>-1</v>
      </c>
      <c r="K184">
        <v>-76</v>
      </c>
      <c r="L184">
        <v>583</v>
      </c>
      <c r="M184">
        <v>3</v>
      </c>
      <c r="N184">
        <v>0</v>
      </c>
      <c r="O184">
        <v>0</v>
      </c>
      <c r="U184">
        <v>1</v>
      </c>
      <c r="V184">
        <v>0.6</v>
      </c>
      <c r="W184" s="103">
        <v>-1</v>
      </c>
      <c r="X184">
        <v>4273.5</v>
      </c>
      <c r="Y184">
        <v>4418.2</v>
      </c>
      <c r="Z184" s="103">
        <v>0</v>
      </c>
    </row>
    <row r="185" spans="1:26">
      <c r="A185">
        <v>20090205</v>
      </c>
      <c r="B185">
        <v>4315</v>
      </c>
      <c r="C185">
        <v>4389</v>
      </c>
      <c r="D185">
        <v>4269</v>
      </c>
      <c r="E185">
        <v>4270</v>
      </c>
      <c r="F185">
        <v>82296</v>
      </c>
      <c r="G185">
        <v>-36</v>
      </c>
      <c r="H185">
        <v>-45</v>
      </c>
      <c r="I185">
        <v>-1</v>
      </c>
      <c r="J185">
        <v>0</v>
      </c>
      <c r="K185">
        <v>36</v>
      </c>
      <c r="L185">
        <v>619</v>
      </c>
      <c r="M185">
        <v>0</v>
      </c>
      <c r="N185">
        <v>0</v>
      </c>
      <c r="O185">
        <v>0</v>
      </c>
      <c r="U185">
        <v>0</v>
      </c>
      <c r="V185">
        <v>0.6</v>
      </c>
      <c r="W185" s="103">
        <v>-1</v>
      </c>
      <c r="X185">
        <v>4266.875</v>
      </c>
      <c r="Y185">
        <v>4403.45</v>
      </c>
      <c r="Z185" s="103">
        <v>0</v>
      </c>
    </row>
    <row r="186" spans="1:26">
      <c r="A186">
        <v>20090206</v>
      </c>
      <c r="B186">
        <v>4362</v>
      </c>
      <c r="C186">
        <v>4479</v>
      </c>
      <c r="D186">
        <v>4356</v>
      </c>
      <c r="E186">
        <v>4443</v>
      </c>
      <c r="F186">
        <v>94505</v>
      </c>
      <c r="G186">
        <v>92</v>
      </c>
      <c r="H186">
        <v>81</v>
      </c>
      <c r="I186">
        <v>-1</v>
      </c>
      <c r="J186">
        <v>-1</v>
      </c>
      <c r="K186">
        <v>-81</v>
      </c>
      <c r="L186">
        <v>538</v>
      </c>
      <c r="M186">
        <v>0</v>
      </c>
      <c r="N186">
        <v>4405.62</v>
      </c>
      <c r="O186">
        <v>4231.1400000000003</v>
      </c>
      <c r="U186">
        <v>1</v>
      </c>
      <c r="V186">
        <v>0.7</v>
      </c>
      <c r="W186" s="103">
        <v>-1</v>
      </c>
      <c r="X186">
        <v>4278.625</v>
      </c>
      <c r="Y186">
        <v>4398.6000000000004</v>
      </c>
      <c r="Z186" s="103">
        <v>0</v>
      </c>
    </row>
    <row r="187" spans="1:26">
      <c r="A187">
        <v>20090209</v>
      </c>
      <c r="B187">
        <v>4500</v>
      </c>
      <c r="C187">
        <v>4522</v>
      </c>
      <c r="D187">
        <v>4425</v>
      </c>
      <c r="E187">
        <v>4456</v>
      </c>
      <c r="F187">
        <v>71142</v>
      </c>
      <c r="G187">
        <v>57</v>
      </c>
      <c r="H187">
        <v>-44</v>
      </c>
      <c r="I187">
        <v>1</v>
      </c>
      <c r="J187">
        <v>-1</v>
      </c>
      <c r="K187">
        <v>-13</v>
      </c>
      <c r="L187">
        <v>525</v>
      </c>
      <c r="M187">
        <v>3</v>
      </c>
      <c r="N187">
        <v>0</v>
      </c>
      <c r="O187">
        <v>0</v>
      </c>
      <c r="U187">
        <v>1</v>
      </c>
      <c r="V187">
        <v>0.7</v>
      </c>
      <c r="W187" s="103">
        <v>-1</v>
      </c>
      <c r="X187">
        <v>4291</v>
      </c>
      <c r="Y187">
        <v>4387.8999999999996</v>
      </c>
      <c r="Z187" s="103">
        <v>0</v>
      </c>
    </row>
    <row r="188" spans="1:26">
      <c r="A188">
        <v>20090210</v>
      </c>
      <c r="B188">
        <v>4456</v>
      </c>
      <c r="C188">
        <v>4499</v>
      </c>
      <c r="D188">
        <v>4435</v>
      </c>
      <c r="E188">
        <v>4497</v>
      </c>
      <c r="F188">
        <v>60156</v>
      </c>
      <c r="G188">
        <v>0</v>
      </c>
      <c r="H188">
        <v>41</v>
      </c>
      <c r="I188">
        <v>-1</v>
      </c>
      <c r="J188">
        <v>0</v>
      </c>
      <c r="K188">
        <v>0</v>
      </c>
      <c r="L188">
        <v>525</v>
      </c>
      <c r="M188">
        <v>0</v>
      </c>
      <c r="N188">
        <v>0</v>
      </c>
      <c r="O188">
        <v>0</v>
      </c>
      <c r="U188">
        <v>1</v>
      </c>
      <c r="V188">
        <v>0.7</v>
      </c>
      <c r="W188" s="103">
        <v>-1</v>
      </c>
      <c r="X188">
        <v>4323.125</v>
      </c>
      <c r="Y188">
        <v>4377.45</v>
      </c>
      <c r="Z188" s="103">
        <v>0</v>
      </c>
    </row>
    <row r="189" spans="1:26">
      <c r="A189">
        <v>20090211</v>
      </c>
      <c r="B189">
        <v>4385</v>
      </c>
      <c r="C189">
        <v>4578</v>
      </c>
      <c r="D189">
        <v>4372</v>
      </c>
      <c r="E189">
        <v>4558</v>
      </c>
      <c r="F189">
        <v>90722</v>
      </c>
      <c r="G189">
        <v>-112</v>
      </c>
      <c r="H189">
        <v>173</v>
      </c>
      <c r="I189">
        <v>1</v>
      </c>
      <c r="J189">
        <v>-1</v>
      </c>
      <c r="K189">
        <v>-173</v>
      </c>
      <c r="L189">
        <v>352</v>
      </c>
      <c r="M189">
        <v>0</v>
      </c>
      <c r="N189">
        <v>4428.8500000000004</v>
      </c>
      <c r="O189">
        <v>4253.45</v>
      </c>
      <c r="U189">
        <v>1</v>
      </c>
      <c r="V189">
        <v>0.7</v>
      </c>
      <c r="W189" s="103">
        <v>-1</v>
      </c>
      <c r="X189">
        <v>4376.375</v>
      </c>
      <c r="Y189">
        <v>4367.75</v>
      </c>
      <c r="Z189" s="103">
        <v>1</v>
      </c>
    </row>
    <row r="190" spans="1:26">
      <c r="A190">
        <v>20090212</v>
      </c>
      <c r="B190">
        <v>4520</v>
      </c>
      <c r="C190">
        <v>4564</v>
      </c>
      <c r="D190">
        <v>4398</v>
      </c>
      <c r="E190">
        <v>4445</v>
      </c>
      <c r="F190">
        <v>112010</v>
      </c>
      <c r="G190">
        <v>-38</v>
      </c>
      <c r="H190">
        <v>-75</v>
      </c>
      <c r="I190">
        <v>-1</v>
      </c>
      <c r="J190">
        <v>0</v>
      </c>
      <c r="K190">
        <v>38</v>
      </c>
      <c r="L190">
        <v>390</v>
      </c>
      <c r="M190">
        <v>0</v>
      </c>
      <c r="N190">
        <v>0</v>
      </c>
      <c r="O190">
        <v>0</v>
      </c>
      <c r="U190">
        <v>0</v>
      </c>
      <c r="V190">
        <v>0.7</v>
      </c>
      <c r="W190" s="103">
        <v>-1</v>
      </c>
      <c r="X190">
        <v>4411.875</v>
      </c>
      <c r="Y190">
        <v>4367.3999999999996</v>
      </c>
      <c r="Z190" s="103">
        <v>0</v>
      </c>
    </row>
    <row r="191" spans="1:26">
      <c r="A191">
        <v>20090213</v>
      </c>
      <c r="B191">
        <v>4459</v>
      </c>
      <c r="C191">
        <v>4590</v>
      </c>
      <c r="D191">
        <v>4451</v>
      </c>
      <c r="E191">
        <v>4571</v>
      </c>
      <c r="F191">
        <v>104666</v>
      </c>
      <c r="G191">
        <v>14</v>
      </c>
      <c r="H191">
        <v>112</v>
      </c>
      <c r="I191">
        <v>-1</v>
      </c>
      <c r="J191">
        <v>-1</v>
      </c>
      <c r="K191">
        <v>-112</v>
      </c>
      <c r="L191">
        <v>278</v>
      </c>
      <c r="M191">
        <v>0</v>
      </c>
      <c r="N191">
        <v>4503.59</v>
      </c>
      <c r="O191">
        <v>4325.2299999999996</v>
      </c>
      <c r="U191">
        <v>1</v>
      </c>
      <c r="V191">
        <v>0.8</v>
      </c>
      <c r="W191" s="103">
        <v>-1</v>
      </c>
      <c r="X191">
        <v>4448.875</v>
      </c>
      <c r="Y191">
        <v>4374.8999999999996</v>
      </c>
      <c r="Z191" s="103">
        <v>0</v>
      </c>
    </row>
    <row r="192" spans="1:26">
      <c r="A192">
        <v>20090216</v>
      </c>
      <c r="B192">
        <v>4569</v>
      </c>
      <c r="C192">
        <v>4588</v>
      </c>
      <c r="D192">
        <v>4534</v>
      </c>
      <c r="E192">
        <v>4575</v>
      </c>
      <c r="F192">
        <v>64270</v>
      </c>
      <c r="G192">
        <v>-2</v>
      </c>
      <c r="H192">
        <v>6</v>
      </c>
      <c r="I192">
        <v>1</v>
      </c>
      <c r="J192">
        <v>-1</v>
      </c>
      <c r="K192">
        <v>-4</v>
      </c>
      <c r="L192">
        <v>274</v>
      </c>
      <c r="M192">
        <v>3</v>
      </c>
      <c r="N192">
        <v>0</v>
      </c>
      <c r="O192">
        <v>0</v>
      </c>
      <c r="U192">
        <v>1</v>
      </c>
      <c r="V192">
        <v>0.8</v>
      </c>
      <c r="W192" s="103">
        <v>-1</v>
      </c>
      <c r="X192">
        <v>4476.875</v>
      </c>
      <c r="Y192">
        <v>4384.95</v>
      </c>
      <c r="Z192" s="103">
        <v>0</v>
      </c>
    </row>
    <row r="193" spans="1:26">
      <c r="A193">
        <v>20090217</v>
      </c>
      <c r="B193">
        <v>4521</v>
      </c>
      <c r="C193">
        <v>4559</v>
      </c>
      <c r="D193">
        <v>4437</v>
      </c>
      <c r="E193">
        <v>4494</v>
      </c>
      <c r="F193">
        <v>80444</v>
      </c>
      <c r="G193">
        <v>-54</v>
      </c>
      <c r="H193">
        <v>-27</v>
      </c>
      <c r="I193">
        <v>-1</v>
      </c>
      <c r="J193">
        <v>0</v>
      </c>
      <c r="K193">
        <v>54</v>
      </c>
      <c r="L193">
        <v>328</v>
      </c>
      <c r="M193">
        <v>0</v>
      </c>
      <c r="N193">
        <v>0</v>
      </c>
      <c r="O193">
        <v>0</v>
      </c>
      <c r="U193">
        <v>0</v>
      </c>
      <c r="V193">
        <v>0.7</v>
      </c>
      <c r="W193" s="103">
        <v>-1</v>
      </c>
      <c r="X193">
        <v>4504.875</v>
      </c>
      <c r="Y193">
        <v>4388.2</v>
      </c>
      <c r="Z193" s="103">
        <v>0</v>
      </c>
    </row>
    <row r="194" spans="1:26">
      <c r="A194">
        <v>20090218</v>
      </c>
      <c r="B194">
        <v>4382</v>
      </c>
      <c r="C194">
        <v>4436</v>
      </c>
      <c r="D194">
        <v>4353</v>
      </c>
      <c r="E194">
        <v>4426</v>
      </c>
      <c r="F194">
        <v>58677</v>
      </c>
      <c r="G194">
        <v>-112</v>
      </c>
      <c r="H194">
        <v>44</v>
      </c>
      <c r="I194">
        <v>-1</v>
      </c>
      <c r="J194">
        <v>-1</v>
      </c>
      <c r="K194">
        <v>-44</v>
      </c>
      <c r="L194">
        <v>284</v>
      </c>
      <c r="M194">
        <v>0</v>
      </c>
      <c r="N194">
        <v>4425.82</v>
      </c>
      <c r="O194">
        <v>4250.54</v>
      </c>
      <c r="U194">
        <v>0</v>
      </c>
      <c r="V194">
        <v>0.6</v>
      </c>
      <c r="W194" s="103">
        <v>-1</v>
      </c>
      <c r="X194">
        <v>4502.75</v>
      </c>
      <c r="Y194">
        <v>4383.6000000000004</v>
      </c>
      <c r="Z194" s="103">
        <v>0</v>
      </c>
    </row>
    <row r="195" spans="1:26">
      <c r="A195">
        <v>20090219</v>
      </c>
      <c r="B195">
        <v>4411</v>
      </c>
      <c r="C195">
        <v>4524</v>
      </c>
      <c r="D195">
        <v>4334</v>
      </c>
      <c r="E195">
        <v>4468</v>
      </c>
      <c r="F195">
        <v>118683</v>
      </c>
      <c r="G195">
        <v>-15</v>
      </c>
      <c r="H195">
        <v>57</v>
      </c>
      <c r="I195">
        <v>-1</v>
      </c>
      <c r="J195">
        <v>-1</v>
      </c>
      <c r="K195">
        <v>-42</v>
      </c>
      <c r="L195">
        <v>242</v>
      </c>
      <c r="M195">
        <v>0</v>
      </c>
      <c r="N195">
        <v>0</v>
      </c>
      <c r="O195">
        <v>0</v>
      </c>
      <c r="U195">
        <v>1</v>
      </c>
      <c r="V195">
        <v>0.7</v>
      </c>
      <c r="W195" s="103">
        <v>-1</v>
      </c>
      <c r="X195">
        <v>4504.25</v>
      </c>
      <c r="Y195">
        <v>4381.5</v>
      </c>
      <c r="Z195" s="103">
        <v>0</v>
      </c>
    </row>
    <row r="196" spans="1:26">
      <c r="A196">
        <v>20090220</v>
      </c>
      <c r="B196">
        <v>4405</v>
      </c>
      <c r="C196">
        <v>4453</v>
      </c>
      <c r="D196">
        <v>4345</v>
      </c>
      <c r="E196">
        <v>4363</v>
      </c>
      <c r="F196">
        <v>105134</v>
      </c>
      <c r="G196">
        <v>-63</v>
      </c>
      <c r="H196">
        <v>-42</v>
      </c>
      <c r="I196">
        <v>-1</v>
      </c>
      <c r="J196">
        <v>-1</v>
      </c>
      <c r="K196">
        <v>105</v>
      </c>
      <c r="L196">
        <v>347</v>
      </c>
      <c r="M196">
        <v>0</v>
      </c>
      <c r="N196">
        <v>0</v>
      </c>
      <c r="O196">
        <v>0</v>
      </c>
      <c r="U196">
        <v>0</v>
      </c>
      <c r="V196">
        <v>0.6</v>
      </c>
      <c r="W196" s="103">
        <v>-1</v>
      </c>
      <c r="X196">
        <v>4487.5</v>
      </c>
      <c r="Y196">
        <v>4387.7</v>
      </c>
      <c r="Z196" s="103">
        <v>0</v>
      </c>
    </row>
    <row r="197" spans="1:26">
      <c r="A197">
        <v>20090223</v>
      </c>
      <c r="B197">
        <v>4332</v>
      </c>
      <c r="C197">
        <v>4433</v>
      </c>
      <c r="D197">
        <v>4296</v>
      </c>
      <c r="E197">
        <v>4426</v>
      </c>
      <c r="F197">
        <v>102515</v>
      </c>
      <c r="G197">
        <v>-31</v>
      </c>
      <c r="H197">
        <v>94</v>
      </c>
      <c r="I197">
        <v>-1</v>
      </c>
      <c r="J197">
        <v>-1</v>
      </c>
      <c r="K197">
        <v>-63</v>
      </c>
      <c r="L197">
        <v>284</v>
      </c>
      <c r="M197">
        <v>0</v>
      </c>
      <c r="N197">
        <v>0</v>
      </c>
      <c r="O197">
        <v>0</v>
      </c>
      <c r="U197">
        <v>1</v>
      </c>
      <c r="V197">
        <v>0.6</v>
      </c>
      <c r="W197" s="103">
        <v>-1</v>
      </c>
      <c r="X197">
        <v>4471</v>
      </c>
      <c r="Y197">
        <v>4392.8500000000004</v>
      </c>
      <c r="Z197" s="103">
        <v>0</v>
      </c>
    </row>
    <row r="198" spans="1:26">
      <c r="A198">
        <v>20090224</v>
      </c>
      <c r="B198">
        <v>4327</v>
      </c>
      <c r="C198">
        <v>4395</v>
      </c>
      <c r="D198">
        <v>4313</v>
      </c>
      <c r="E198">
        <v>4381</v>
      </c>
      <c r="F198">
        <v>83683</v>
      </c>
      <c r="G198">
        <v>-99</v>
      </c>
      <c r="H198">
        <v>54</v>
      </c>
      <c r="I198">
        <v>0</v>
      </c>
      <c r="J198">
        <v>-1</v>
      </c>
      <c r="K198">
        <v>45</v>
      </c>
      <c r="L198">
        <v>329</v>
      </c>
      <c r="M198">
        <v>0</v>
      </c>
      <c r="N198">
        <v>0</v>
      </c>
      <c r="O198">
        <v>0</v>
      </c>
      <c r="U198">
        <v>0</v>
      </c>
      <c r="V198">
        <v>0.5</v>
      </c>
      <c r="W198" s="103">
        <v>0</v>
      </c>
      <c r="X198">
        <v>4463</v>
      </c>
      <c r="Y198">
        <v>4394.45</v>
      </c>
      <c r="Z198" s="103">
        <v>0</v>
      </c>
    </row>
    <row r="199" spans="1:26">
      <c r="A199">
        <v>20090225</v>
      </c>
      <c r="B199">
        <v>4435</v>
      </c>
      <c r="C199">
        <v>4520</v>
      </c>
      <c r="D199">
        <v>4408</v>
      </c>
      <c r="E199">
        <v>4466</v>
      </c>
      <c r="F199">
        <v>104986</v>
      </c>
      <c r="G199">
        <v>54</v>
      </c>
      <c r="H199">
        <v>31</v>
      </c>
      <c r="I199">
        <v>1</v>
      </c>
      <c r="J199">
        <v>-1</v>
      </c>
      <c r="K199">
        <v>-85</v>
      </c>
      <c r="L199">
        <v>244</v>
      </c>
      <c r="M199">
        <v>3</v>
      </c>
      <c r="N199">
        <v>0</v>
      </c>
      <c r="O199">
        <v>0</v>
      </c>
      <c r="U199">
        <v>1</v>
      </c>
      <c r="V199">
        <v>0.5</v>
      </c>
      <c r="W199" s="103">
        <v>0</v>
      </c>
      <c r="X199">
        <v>4449.875</v>
      </c>
      <c r="Y199">
        <v>4399.8999999999996</v>
      </c>
      <c r="Z199" s="103">
        <v>0</v>
      </c>
    </row>
    <row r="200" spans="1:26">
      <c r="A200">
        <v>20090226</v>
      </c>
      <c r="B200">
        <v>4520</v>
      </c>
      <c r="C200">
        <v>4538</v>
      </c>
      <c r="D200">
        <v>4440</v>
      </c>
      <c r="E200">
        <v>4477</v>
      </c>
      <c r="F200">
        <v>89413</v>
      </c>
      <c r="G200">
        <v>54</v>
      </c>
      <c r="H200">
        <v>-43</v>
      </c>
      <c r="I200">
        <v>-1</v>
      </c>
      <c r="J200">
        <v>0</v>
      </c>
      <c r="K200">
        <v>-54</v>
      </c>
      <c r="L200">
        <v>190</v>
      </c>
      <c r="M200">
        <v>0</v>
      </c>
      <c r="N200">
        <v>0</v>
      </c>
      <c r="O200">
        <v>0</v>
      </c>
      <c r="U200">
        <v>1</v>
      </c>
      <c r="V200">
        <v>0.6</v>
      </c>
      <c r="W200" s="103">
        <v>-1</v>
      </c>
      <c r="X200">
        <v>4437.625</v>
      </c>
      <c r="Y200">
        <v>4411.75</v>
      </c>
      <c r="Z200" s="103">
        <v>0</v>
      </c>
    </row>
    <row r="201" spans="1:26">
      <c r="A201">
        <v>20090227</v>
      </c>
      <c r="B201">
        <v>4472</v>
      </c>
      <c r="C201">
        <v>4528</v>
      </c>
      <c r="D201">
        <v>4452</v>
      </c>
      <c r="E201">
        <v>4510</v>
      </c>
      <c r="F201">
        <v>73628</v>
      </c>
      <c r="G201">
        <v>-5</v>
      </c>
      <c r="H201">
        <v>38</v>
      </c>
      <c r="I201">
        <v>-1</v>
      </c>
      <c r="J201">
        <v>-1</v>
      </c>
      <c r="K201">
        <v>-38</v>
      </c>
      <c r="L201">
        <v>152</v>
      </c>
      <c r="M201">
        <v>0</v>
      </c>
      <c r="N201">
        <v>4516.72</v>
      </c>
      <c r="O201">
        <v>4337.84</v>
      </c>
      <c r="U201">
        <v>1</v>
      </c>
      <c r="V201">
        <v>0.6</v>
      </c>
      <c r="W201" s="103">
        <v>-1</v>
      </c>
      <c r="X201">
        <v>4439.625</v>
      </c>
      <c r="Y201">
        <v>4430.6499999999996</v>
      </c>
      <c r="Z201" s="103">
        <v>0</v>
      </c>
    </row>
    <row r="202" spans="1:26">
      <c r="A202">
        <v>20090302</v>
      </c>
      <c r="B202">
        <v>4422</v>
      </c>
      <c r="C202">
        <v>4459</v>
      </c>
      <c r="D202">
        <v>4303</v>
      </c>
      <c r="E202">
        <v>4331</v>
      </c>
      <c r="F202">
        <v>101175</v>
      </c>
      <c r="G202">
        <v>-88</v>
      </c>
      <c r="H202">
        <v>-91</v>
      </c>
      <c r="I202">
        <v>-1</v>
      </c>
      <c r="J202">
        <v>-1</v>
      </c>
      <c r="K202">
        <v>179</v>
      </c>
      <c r="L202">
        <v>331</v>
      </c>
      <c r="M202">
        <v>0</v>
      </c>
      <c r="N202">
        <v>0</v>
      </c>
      <c r="O202">
        <v>0</v>
      </c>
      <c r="U202">
        <v>0</v>
      </c>
      <c r="V202">
        <v>0.5</v>
      </c>
      <c r="W202" s="103">
        <v>0</v>
      </c>
      <c r="X202">
        <v>4427.75</v>
      </c>
      <c r="Y202">
        <v>4439.1499999999996</v>
      </c>
      <c r="Z202" s="103">
        <v>-1</v>
      </c>
    </row>
    <row r="203" spans="1:26">
      <c r="A203">
        <v>20090303</v>
      </c>
      <c r="B203">
        <v>4270</v>
      </c>
      <c r="C203">
        <v>4377</v>
      </c>
      <c r="D203">
        <v>4238</v>
      </c>
      <c r="E203">
        <v>4367</v>
      </c>
      <c r="F203">
        <v>103908</v>
      </c>
      <c r="G203">
        <v>-61</v>
      </c>
      <c r="H203">
        <v>97</v>
      </c>
      <c r="I203">
        <v>1</v>
      </c>
      <c r="J203">
        <v>-1</v>
      </c>
      <c r="K203">
        <v>-36</v>
      </c>
      <c r="L203">
        <v>295</v>
      </c>
      <c r="M203">
        <v>4</v>
      </c>
      <c r="N203">
        <v>0</v>
      </c>
      <c r="O203">
        <v>0</v>
      </c>
      <c r="U203">
        <v>1</v>
      </c>
      <c r="V203">
        <v>0.6</v>
      </c>
      <c r="W203" s="103">
        <v>-1</v>
      </c>
      <c r="X203">
        <v>4415.125</v>
      </c>
      <c r="Y203">
        <v>4443.75</v>
      </c>
      <c r="Z203" s="103">
        <v>0</v>
      </c>
    </row>
    <row r="204" spans="1:26">
      <c r="A204">
        <v>20090304</v>
      </c>
      <c r="B204">
        <v>4336</v>
      </c>
      <c r="C204">
        <v>4516</v>
      </c>
      <c r="D204">
        <v>4322</v>
      </c>
      <c r="E204">
        <v>4511</v>
      </c>
      <c r="F204">
        <v>109654</v>
      </c>
      <c r="G204">
        <v>-31</v>
      </c>
      <c r="H204">
        <v>175</v>
      </c>
      <c r="I204">
        <v>-1</v>
      </c>
      <c r="J204">
        <v>0</v>
      </c>
      <c r="K204">
        <v>31</v>
      </c>
      <c r="L204">
        <v>326</v>
      </c>
      <c r="M204">
        <v>0</v>
      </c>
      <c r="N204">
        <v>0</v>
      </c>
      <c r="O204">
        <v>0</v>
      </c>
      <c r="U204">
        <v>1</v>
      </c>
      <c r="V204">
        <v>0.7</v>
      </c>
      <c r="W204" s="103">
        <v>-1</v>
      </c>
      <c r="X204">
        <v>4433.625</v>
      </c>
      <c r="Y204">
        <v>4451.75</v>
      </c>
      <c r="Z204" s="103">
        <v>0</v>
      </c>
    </row>
    <row r="205" spans="1:26">
      <c r="A205">
        <v>20090305</v>
      </c>
      <c r="B205">
        <v>4541</v>
      </c>
      <c r="C205">
        <v>4646</v>
      </c>
      <c r="D205">
        <v>4539</v>
      </c>
      <c r="E205">
        <v>4595</v>
      </c>
      <c r="F205">
        <v>120108</v>
      </c>
      <c r="G205">
        <v>30</v>
      </c>
      <c r="H205">
        <v>54</v>
      </c>
      <c r="I205">
        <v>-1</v>
      </c>
      <c r="J205">
        <v>-1</v>
      </c>
      <c r="K205">
        <v>-54</v>
      </c>
      <c r="L205">
        <v>272</v>
      </c>
      <c r="M205">
        <v>0</v>
      </c>
      <c r="N205">
        <v>4586.41</v>
      </c>
      <c r="O205">
        <v>4404.7699999999995</v>
      </c>
      <c r="U205">
        <v>1</v>
      </c>
      <c r="V205">
        <v>0.7</v>
      </c>
      <c r="W205" s="103">
        <v>-1</v>
      </c>
      <c r="X205">
        <v>4454.75</v>
      </c>
      <c r="Y205">
        <v>4468</v>
      </c>
      <c r="Z205" s="103">
        <v>0</v>
      </c>
    </row>
    <row r="206" spans="1:26">
      <c r="A206">
        <v>20090306</v>
      </c>
      <c r="B206">
        <v>4550</v>
      </c>
      <c r="C206">
        <v>4638</v>
      </c>
      <c r="D206">
        <v>4540</v>
      </c>
      <c r="E206">
        <v>4628</v>
      </c>
      <c r="F206">
        <v>109029</v>
      </c>
      <c r="G206">
        <v>-45</v>
      </c>
      <c r="H206">
        <v>78</v>
      </c>
      <c r="I206">
        <v>1</v>
      </c>
      <c r="J206">
        <v>-1</v>
      </c>
      <c r="K206">
        <v>-33</v>
      </c>
      <c r="L206">
        <v>239</v>
      </c>
      <c r="M206">
        <v>0</v>
      </c>
      <c r="N206">
        <v>0</v>
      </c>
      <c r="O206">
        <v>0</v>
      </c>
      <c r="U206">
        <v>1</v>
      </c>
      <c r="V206">
        <v>0.8</v>
      </c>
      <c r="W206" s="103">
        <v>-1</v>
      </c>
      <c r="X206">
        <v>4485.625</v>
      </c>
      <c r="Y206">
        <v>4477.25</v>
      </c>
      <c r="Z206" s="103">
        <v>1</v>
      </c>
    </row>
    <row r="207" spans="1:26">
      <c r="A207">
        <v>20090309</v>
      </c>
      <c r="B207">
        <v>4672</v>
      </c>
      <c r="C207">
        <v>4675</v>
      </c>
      <c r="D207">
        <v>4543</v>
      </c>
      <c r="E207">
        <v>4624</v>
      </c>
      <c r="F207">
        <v>93646</v>
      </c>
      <c r="G207">
        <v>44</v>
      </c>
      <c r="H207">
        <v>-48</v>
      </c>
      <c r="I207">
        <v>-1</v>
      </c>
      <c r="J207">
        <v>0</v>
      </c>
      <c r="K207">
        <v>-44</v>
      </c>
      <c r="L207">
        <v>195</v>
      </c>
      <c r="M207">
        <v>0</v>
      </c>
      <c r="N207">
        <v>0</v>
      </c>
      <c r="O207">
        <v>0</v>
      </c>
      <c r="U207">
        <v>0</v>
      </c>
      <c r="V207">
        <v>0.7</v>
      </c>
      <c r="W207" s="103">
        <v>-1</v>
      </c>
      <c r="X207">
        <v>4505.375</v>
      </c>
      <c r="Y207">
        <v>4485.6499999999996</v>
      </c>
      <c r="Z207" s="103">
        <v>0</v>
      </c>
    </row>
    <row r="208" spans="1:26">
      <c r="A208">
        <v>20090310</v>
      </c>
      <c r="B208">
        <v>4601</v>
      </c>
      <c r="C208">
        <v>4669</v>
      </c>
      <c r="D208">
        <v>4567</v>
      </c>
      <c r="E208">
        <v>4656</v>
      </c>
      <c r="F208">
        <v>91575</v>
      </c>
      <c r="G208">
        <v>-23</v>
      </c>
      <c r="H208">
        <v>55</v>
      </c>
      <c r="I208">
        <v>-1</v>
      </c>
      <c r="J208">
        <v>-1</v>
      </c>
      <c r="K208">
        <v>-55</v>
      </c>
      <c r="L208">
        <v>140</v>
      </c>
      <c r="M208">
        <v>0</v>
      </c>
      <c r="N208">
        <v>4647.01</v>
      </c>
      <c r="O208">
        <v>4462.97</v>
      </c>
      <c r="U208">
        <v>1</v>
      </c>
      <c r="V208">
        <v>0.8</v>
      </c>
      <c r="W208" s="103">
        <v>-1</v>
      </c>
      <c r="X208">
        <v>4527.75</v>
      </c>
      <c r="Y208">
        <v>4493.6000000000004</v>
      </c>
      <c r="Z208" s="103">
        <v>0</v>
      </c>
    </row>
    <row r="209" spans="1:26">
      <c r="A209">
        <v>20090311</v>
      </c>
      <c r="B209">
        <v>4775</v>
      </c>
      <c r="C209">
        <v>4785</v>
      </c>
      <c r="D209">
        <v>4715</v>
      </c>
      <c r="E209">
        <v>4758</v>
      </c>
      <c r="F209">
        <v>76468</v>
      </c>
      <c r="G209">
        <v>119</v>
      </c>
      <c r="H209">
        <v>-17</v>
      </c>
      <c r="I209">
        <v>1</v>
      </c>
      <c r="J209">
        <v>-1</v>
      </c>
      <c r="K209">
        <v>-102</v>
      </c>
      <c r="L209">
        <v>38</v>
      </c>
      <c r="M209">
        <v>3</v>
      </c>
      <c r="N209">
        <v>0</v>
      </c>
      <c r="O209">
        <v>0</v>
      </c>
      <c r="U209">
        <v>1</v>
      </c>
      <c r="V209">
        <v>0.8</v>
      </c>
      <c r="W209" s="103">
        <v>-1</v>
      </c>
      <c r="X209">
        <v>4558.75</v>
      </c>
      <c r="Y209">
        <v>4503.6000000000004</v>
      </c>
      <c r="Z209" s="103">
        <v>0</v>
      </c>
    </row>
    <row r="210" spans="1:26">
      <c r="A210">
        <v>20090312</v>
      </c>
      <c r="B210">
        <v>4752</v>
      </c>
      <c r="C210">
        <v>4779</v>
      </c>
      <c r="D210">
        <v>4724</v>
      </c>
      <c r="E210">
        <v>4748</v>
      </c>
      <c r="F210">
        <v>62705</v>
      </c>
      <c r="G210">
        <v>-6</v>
      </c>
      <c r="H210">
        <v>-4</v>
      </c>
      <c r="I210">
        <v>-1</v>
      </c>
      <c r="J210">
        <v>0</v>
      </c>
      <c r="K210">
        <v>6</v>
      </c>
      <c r="L210">
        <v>44</v>
      </c>
      <c r="M210">
        <v>0</v>
      </c>
      <c r="N210">
        <v>0</v>
      </c>
      <c r="O210">
        <v>0</v>
      </c>
      <c r="U210">
        <v>0</v>
      </c>
      <c r="V210">
        <v>0.7</v>
      </c>
      <c r="W210" s="103">
        <v>-1</v>
      </c>
      <c r="X210">
        <v>4610.875</v>
      </c>
      <c r="Y210">
        <v>4518.75</v>
      </c>
      <c r="Z210" s="103">
        <v>0</v>
      </c>
    </row>
    <row r="211" spans="1:26">
      <c r="A211">
        <v>20090313</v>
      </c>
      <c r="B211">
        <v>4820</v>
      </c>
      <c r="C211">
        <v>4942</v>
      </c>
      <c r="D211">
        <v>4813</v>
      </c>
      <c r="E211">
        <v>4900</v>
      </c>
      <c r="F211">
        <v>96063</v>
      </c>
      <c r="G211">
        <v>72</v>
      </c>
      <c r="H211">
        <v>80</v>
      </c>
      <c r="I211">
        <v>-1</v>
      </c>
      <c r="J211">
        <v>-1</v>
      </c>
      <c r="K211">
        <v>-80</v>
      </c>
      <c r="L211">
        <v>-36</v>
      </c>
      <c r="M211">
        <v>0</v>
      </c>
      <c r="N211">
        <v>4868.2</v>
      </c>
      <c r="O211">
        <v>4675.3999999999996</v>
      </c>
      <c r="U211">
        <v>1</v>
      </c>
      <c r="V211">
        <v>0.7</v>
      </c>
      <c r="W211" s="103">
        <v>-1</v>
      </c>
      <c r="X211">
        <v>4677.5</v>
      </c>
      <c r="Y211">
        <v>4535.2</v>
      </c>
      <c r="Z211" s="103">
        <v>0</v>
      </c>
    </row>
    <row r="212" spans="1:26">
      <c r="A212">
        <v>20090316</v>
      </c>
      <c r="B212">
        <v>4938</v>
      </c>
      <c r="C212">
        <v>4985</v>
      </c>
      <c r="D212">
        <v>4907</v>
      </c>
      <c r="E212">
        <v>4962</v>
      </c>
      <c r="F212">
        <v>75400</v>
      </c>
      <c r="G212">
        <v>38</v>
      </c>
      <c r="H212">
        <v>24</v>
      </c>
      <c r="I212">
        <v>1</v>
      </c>
      <c r="J212">
        <v>-1</v>
      </c>
      <c r="K212">
        <v>-62</v>
      </c>
      <c r="L212">
        <v>-98</v>
      </c>
      <c r="M212">
        <v>3</v>
      </c>
      <c r="N212">
        <v>0</v>
      </c>
      <c r="O212">
        <v>0</v>
      </c>
      <c r="U212">
        <v>1</v>
      </c>
      <c r="V212">
        <v>0.8</v>
      </c>
      <c r="W212" s="103">
        <v>-1</v>
      </c>
      <c r="X212">
        <v>4733.875</v>
      </c>
      <c r="Y212">
        <v>4554.55</v>
      </c>
      <c r="Z212" s="103">
        <v>0</v>
      </c>
    </row>
    <row r="213" spans="1:26">
      <c r="A213">
        <v>20090317</v>
      </c>
      <c r="B213">
        <v>4966</v>
      </c>
      <c r="C213">
        <v>5070</v>
      </c>
      <c r="D213">
        <v>4946</v>
      </c>
      <c r="E213">
        <v>5057</v>
      </c>
      <c r="F213">
        <v>87165</v>
      </c>
      <c r="G213">
        <v>4</v>
      </c>
      <c r="H213">
        <v>91</v>
      </c>
      <c r="I213">
        <v>-1</v>
      </c>
      <c r="J213">
        <v>0</v>
      </c>
      <c r="K213">
        <v>-4</v>
      </c>
      <c r="L213">
        <v>-102</v>
      </c>
      <c r="M213">
        <v>0</v>
      </c>
      <c r="N213">
        <v>0</v>
      </c>
      <c r="O213">
        <v>0</v>
      </c>
      <c r="U213">
        <v>1</v>
      </c>
      <c r="V213">
        <v>0.8</v>
      </c>
      <c r="W213" s="103">
        <v>-1</v>
      </c>
      <c r="X213">
        <v>4791.625</v>
      </c>
      <c r="Y213">
        <v>4582.7</v>
      </c>
      <c r="Z213" s="103">
        <v>0</v>
      </c>
    </row>
    <row r="214" spans="1:26">
      <c r="A214">
        <v>20090318</v>
      </c>
      <c r="B214">
        <v>5045</v>
      </c>
      <c r="C214">
        <v>5068</v>
      </c>
      <c r="D214">
        <v>4996</v>
      </c>
      <c r="E214">
        <v>5027</v>
      </c>
      <c r="F214">
        <v>57454</v>
      </c>
      <c r="G214">
        <v>-12</v>
      </c>
      <c r="H214">
        <v>-18</v>
      </c>
      <c r="I214">
        <v>-1</v>
      </c>
      <c r="J214">
        <v>-1</v>
      </c>
      <c r="K214">
        <v>18</v>
      </c>
      <c r="L214">
        <v>-84</v>
      </c>
      <c r="M214">
        <v>0</v>
      </c>
      <c r="N214">
        <v>5095.45</v>
      </c>
      <c r="O214">
        <v>4893.6499999999996</v>
      </c>
      <c r="U214">
        <v>0</v>
      </c>
      <c r="V214">
        <v>0.7</v>
      </c>
      <c r="W214" s="103">
        <v>-1</v>
      </c>
      <c r="X214">
        <v>4841.5</v>
      </c>
      <c r="Y214">
        <v>4612.75</v>
      </c>
      <c r="Z214" s="103">
        <v>0</v>
      </c>
    </row>
    <row r="215" spans="1:26">
      <c r="A215">
        <v>20090319</v>
      </c>
      <c r="B215">
        <v>5045</v>
      </c>
      <c r="C215">
        <v>5105</v>
      </c>
      <c r="D215">
        <v>4975</v>
      </c>
      <c r="E215">
        <v>4980</v>
      </c>
      <c r="F215">
        <v>105739</v>
      </c>
      <c r="G215">
        <v>18</v>
      </c>
      <c r="H215">
        <v>-65</v>
      </c>
      <c r="I215">
        <v>-1</v>
      </c>
      <c r="J215">
        <v>-1</v>
      </c>
      <c r="K215">
        <v>47</v>
      </c>
      <c r="L215">
        <v>-37</v>
      </c>
      <c r="M215">
        <v>0</v>
      </c>
      <c r="N215">
        <v>0</v>
      </c>
      <c r="O215">
        <v>0</v>
      </c>
      <c r="U215">
        <v>0</v>
      </c>
      <c r="V215">
        <v>0.6</v>
      </c>
      <c r="W215" s="103">
        <v>-1</v>
      </c>
      <c r="X215">
        <v>4886</v>
      </c>
      <c r="Y215">
        <v>4638.3500000000004</v>
      </c>
      <c r="Z215" s="103">
        <v>0</v>
      </c>
    </row>
    <row r="216" spans="1:26">
      <c r="A216">
        <v>20090320</v>
      </c>
      <c r="B216">
        <v>5006</v>
      </c>
      <c r="C216">
        <v>5040</v>
      </c>
      <c r="D216">
        <v>4922</v>
      </c>
      <c r="E216">
        <v>4950</v>
      </c>
      <c r="F216">
        <v>106367</v>
      </c>
      <c r="G216">
        <v>26</v>
      </c>
      <c r="H216">
        <v>-56</v>
      </c>
      <c r="I216">
        <v>0</v>
      </c>
      <c r="J216">
        <v>-1</v>
      </c>
      <c r="K216">
        <v>30</v>
      </c>
      <c r="L216">
        <v>-7</v>
      </c>
      <c r="M216">
        <v>0</v>
      </c>
      <c r="N216">
        <v>0</v>
      </c>
      <c r="O216">
        <v>0</v>
      </c>
      <c r="U216">
        <v>0</v>
      </c>
      <c r="V216">
        <v>0.5</v>
      </c>
      <c r="W216" s="103">
        <v>0</v>
      </c>
      <c r="X216">
        <v>4922.75</v>
      </c>
      <c r="Y216">
        <v>4667.7</v>
      </c>
      <c r="Z216" s="103">
        <v>0</v>
      </c>
    </row>
    <row r="217" spans="1:26">
      <c r="A217">
        <v>20090323</v>
      </c>
      <c r="B217">
        <v>5032</v>
      </c>
      <c r="C217">
        <v>5132</v>
      </c>
      <c r="D217">
        <v>4991</v>
      </c>
      <c r="E217">
        <v>5131</v>
      </c>
      <c r="F217">
        <v>95367</v>
      </c>
      <c r="G217">
        <v>82</v>
      </c>
      <c r="H217">
        <v>99</v>
      </c>
      <c r="I217">
        <v>-1</v>
      </c>
      <c r="J217">
        <v>-1</v>
      </c>
      <c r="K217">
        <v>-181</v>
      </c>
      <c r="L217">
        <v>-188</v>
      </c>
      <c r="M217">
        <v>0</v>
      </c>
      <c r="N217">
        <v>0</v>
      </c>
      <c r="O217">
        <v>0</v>
      </c>
      <c r="U217">
        <v>1</v>
      </c>
      <c r="V217">
        <v>0.6</v>
      </c>
      <c r="W217" s="103">
        <v>-1</v>
      </c>
      <c r="X217">
        <v>4969.375</v>
      </c>
      <c r="Y217">
        <v>4702.95</v>
      </c>
      <c r="Z217" s="103">
        <v>0</v>
      </c>
    </row>
    <row r="218" spans="1:26">
      <c r="A218">
        <v>20090324</v>
      </c>
      <c r="B218">
        <v>5201</v>
      </c>
      <c r="C218">
        <v>5270</v>
      </c>
      <c r="D218">
        <v>5188</v>
      </c>
      <c r="E218">
        <v>5262</v>
      </c>
      <c r="F218">
        <v>99448</v>
      </c>
      <c r="G218">
        <v>70</v>
      </c>
      <c r="H218">
        <v>61</v>
      </c>
      <c r="I218">
        <v>1</v>
      </c>
      <c r="J218">
        <v>-1</v>
      </c>
      <c r="K218">
        <v>-131</v>
      </c>
      <c r="L218">
        <v>-319</v>
      </c>
      <c r="M218">
        <v>3</v>
      </c>
      <c r="N218">
        <v>0</v>
      </c>
      <c r="O218">
        <v>0</v>
      </c>
      <c r="U218">
        <v>1</v>
      </c>
      <c r="V218">
        <v>0.6</v>
      </c>
      <c r="W218" s="103">
        <v>-1</v>
      </c>
      <c r="X218">
        <v>5033.625</v>
      </c>
      <c r="Y218">
        <v>4747</v>
      </c>
      <c r="Z218" s="103">
        <v>0</v>
      </c>
    </row>
    <row r="219" spans="1:26">
      <c r="A219">
        <v>20090325</v>
      </c>
      <c r="B219">
        <v>5254</v>
      </c>
      <c r="C219">
        <v>5389</v>
      </c>
      <c r="D219">
        <v>5232</v>
      </c>
      <c r="E219">
        <v>5360</v>
      </c>
      <c r="F219">
        <v>114159</v>
      </c>
      <c r="G219">
        <v>-8</v>
      </c>
      <c r="H219">
        <v>106</v>
      </c>
      <c r="I219">
        <v>-1</v>
      </c>
      <c r="J219">
        <v>0</v>
      </c>
      <c r="K219">
        <v>8</v>
      </c>
      <c r="L219">
        <v>-311</v>
      </c>
      <c r="M219">
        <v>0</v>
      </c>
      <c r="N219">
        <v>0</v>
      </c>
      <c r="O219">
        <v>0</v>
      </c>
      <c r="U219">
        <v>1</v>
      </c>
      <c r="V219">
        <v>0.6</v>
      </c>
      <c r="W219" s="103">
        <v>-1</v>
      </c>
      <c r="X219">
        <v>5091.125</v>
      </c>
      <c r="Y219">
        <v>4791.7</v>
      </c>
      <c r="Z219" s="103">
        <v>0</v>
      </c>
    </row>
    <row r="220" spans="1:26">
      <c r="A220">
        <v>20090326</v>
      </c>
      <c r="B220">
        <v>5349</v>
      </c>
      <c r="C220">
        <v>5434</v>
      </c>
      <c r="D220">
        <v>5317</v>
      </c>
      <c r="E220">
        <v>5385</v>
      </c>
      <c r="F220">
        <v>130866</v>
      </c>
      <c r="G220">
        <v>-11</v>
      </c>
      <c r="H220">
        <v>36</v>
      </c>
      <c r="I220">
        <v>-1</v>
      </c>
      <c r="J220">
        <v>-1</v>
      </c>
      <c r="K220">
        <v>-36</v>
      </c>
      <c r="L220">
        <v>-347</v>
      </c>
      <c r="M220">
        <v>0</v>
      </c>
      <c r="N220">
        <v>5402.49</v>
      </c>
      <c r="O220">
        <v>5188.53</v>
      </c>
      <c r="U220">
        <v>1</v>
      </c>
      <c r="V220">
        <v>0.7</v>
      </c>
      <c r="W220" s="103">
        <v>-1</v>
      </c>
      <c r="X220">
        <v>5144</v>
      </c>
      <c r="Y220">
        <v>4837.1000000000004</v>
      </c>
      <c r="Z220" s="103">
        <v>0</v>
      </c>
    </row>
    <row r="221" spans="1:26">
      <c r="A221">
        <v>20090327</v>
      </c>
      <c r="B221">
        <v>5434</v>
      </c>
      <c r="C221">
        <v>5454</v>
      </c>
      <c r="D221">
        <v>5336</v>
      </c>
      <c r="E221">
        <v>5353</v>
      </c>
      <c r="F221">
        <v>110141</v>
      </c>
      <c r="G221">
        <v>49</v>
      </c>
      <c r="H221">
        <v>-81</v>
      </c>
      <c r="I221">
        <v>1</v>
      </c>
      <c r="J221">
        <v>-1</v>
      </c>
      <c r="K221">
        <v>32</v>
      </c>
      <c r="L221">
        <v>-315</v>
      </c>
      <c r="M221">
        <v>3</v>
      </c>
      <c r="N221">
        <v>0</v>
      </c>
      <c r="O221">
        <v>0</v>
      </c>
      <c r="U221">
        <v>0</v>
      </c>
      <c r="V221">
        <v>0.6</v>
      </c>
      <c r="W221" s="103">
        <v>-1</v>
      </c>
      <c r="X221">
        <v>5181</v>
      </c>
      <c r="Y221">
        <v>4879.25</v>
      </c>
      <c r="Z221" s="103">
        <v>0</v>
      </c>
    </row>
    <row r="222" spans="1:26">
      <c r="A222">
        <v>20090330</v>
      </c>
      <c r="B222">
        <v>5346</v>
      </c>
      <c r="C222">
        <v>5360</v>
      </c>
      <c r="D222">
        <v>5143</v>
      </c>
      <c r="E222">
        <v>5175</v>
      </c>
      <c r="F222">
        <v>111477</v>
      </c>
      <c r="G222">
        <v>-7</v>
      </c>
      <c r="H222">
        <v>-171</v>
      </c>
      <c r="I222">
        <v>0</v>
      </c>
      <c r="J222">
        <v>0</v>
      </c>
      <c r="K222">
        <v>7</v>
      </c>
      <c r="L222">
        <v>-308</v>
      </c>
      <c r="M222">
        <v>0</v>
      </c>
      <c r="N222">
        <v>0</v>
      </c>
      <c r="O222">
        <v>0</v>
      </c>
      <c r="U222">
        <v>0</v>
      </c>
      <c r="V222">
        <v>0.5</v>
      </c>
      <c r="W222" s="103">
        <v>0</v>
      </c>
      <c r="X222">
        <v>5199.5</v>
      </c>
      <c r="Y222">
        <v>4921.45</v>
      </c>
      <c r="Z222" s="103">
        <v>0</v>
      </c>
    </row>
    <row r="223" spans="1:26">
      <c r="A223">
        <v>20090331</v>
      </c>
      <c r="B223">
        <v>5225</v>
      </c>
      <c r="C223">
        <v>5295</v>
      </c>
      <c r="D223">
        <v>5175</v>
      </c>
      <c r="E223">
        <v>5201</v>
      </c>
      <c r="F223">
        <v>105619</v>
      </c>
      <c r="G223">
        <v>50</v>
      </c>
      <c r="H223">
        <v>-24</v>
      </c>
      <c r="I223">
        <v>0</v>
      </c>
      <c r="J223">
        <v>0</v>
      </c>
      <c r="K223">
        <v>0</v>
      </c>
      <c r="L223">
        <v>-308</v>
      </c>
      <c r="M223">
        <v>0</v>
      </c>
      <c r="N223">
        <v>0</v>
      </c>
      <c r="O223">
        <v>0</v>
      </c>
      <c r="U223">
        <v>1</v>
      </c>
      <c r="V223">
        <v>0.5</v>
      </c>
      <c r="W223" s="103">
        <v>0</v>
      </c>
      <c r="X223">
        <v>5227.125</v>
      </c>
      <c r="Y223">
        <v>4963.1499999999996</v>
      </c>
      <c r="Z223" s="103">
        <v>0</v>
      </c>
    </row>
    <row r="224" spans="1:26">
      <c r="A224">
        <v>20090401</v>
      </c>
      <c r="B224">
        <v>5228</v>
      </c>
      <c r="C224">
        <v>5344</v>
      </c>
      <c r="D224">
        <v>5222</v>
      </c>
      <c r="E224">
        <v>5314</v>
      </c>
      <c r="F224">
        <v>135768</v>
      </c>
      <c r="G224">
        <v>27</v>
      </c>
      <c r="H224">
        <v>86</v>
      </c>
      <c r="I224">
        <v>-1</v>
      </c>
      <c r="J224">
        <v>0</v>
      </c>
      <c r="K224">
        <v>0</v>
      </c>
      <c r="L224">
        <v>-308</v>
      </c>
      <c r="M224">
        <v>0</v>
      </c>
      <c r="N224">
        <v>0</v>
      </c>
      <c r="O224">
        <v>0</v>
      </c>
      <c r="U224">
        <v>1</v>
      </c>
      <c r="V224">
        <v>0.6</v>
      </c>
      <c r="W224" s="103">
        <v>-1</v>
      </c>
      <c r="X224">
        <v>5272.625</v>
      </c>
      <c r="Y224">
        <v>5003.3</v>
      </c>
      <c r="Z224" s="103">
        <v>0</v>
      </c>
    </row>
    <row r="225" spans="1:26">
      <c r="A225">
        <v>20090402</v>
      </c>
      <c r="B225">
        <v>5400</v>
      </c>
      <c r="C225">
        <v>5517</v>
      </c>
      <c r="D225">
        <v>5400</v>
      </c>
      <c r="E225">
        <v>5511</v>
      </c>
      <c r="F225">
        <v>115802</v>
      </c>
      <c r="G225">
        <v>86</v>
      </c>
      <c r="H225">
        <v>111</v>
      </c>
      <c r="I225">
        <v>-1</v>
      </c>
      <c r="J225">
        <v>-1</v>
      </c>
      <c r="K225">
        <v>-111</v>
      </c>
      <c r="L225">
        <v>-419</v>
      </c>
      <c r="M225">
        <v>0</v>
      </c>
      <c r="N225">
        <v>5454</v>
      </c>
      <c r="O225">
        <v>5238</v>
      </c>
      <c r="U225">
        <v>1</v>
      </c>
      <c r="V225">
        <v>0.7</v>
      </c>
      <c r="W225" s="103">
        <v>-1</v>
      </c>
      <c r="X225">
        <v>5320.125</v>
      </c>
      <c r="Y225">
        <v>5049.1000000000004</v>
      </c>
      <c r="Z225" s="103">
        <v>0</v>
      </c>
    </row>
    <row r="226" spans="1:26">
      <c r="A226">
        <v>20090403</v>
      </c>
      <c r="B226">
        <v>5562</v>
      </c>
      <c r="C226">
        <v>5567</v>
      </c>
      <c r="D226">
        <v>5475</v>
      </c>
      <c r="E226">
        <v>5509</v>
      </c>
      <c r="F226">
        <v>103093</v>
      </c>
      <c r="G226">
        <v>51</v>
      </c>
      <c r="H226">
        <v>-53</v>
      </c>
      <c r="I226">
        <v>1</v>
      </c>
      <c r="J226">
        <v>-1</v>
      </c>
      <c r="K226">
        <v>2</v>
      </c>
      <c r="L226">
        <v>-417</v>
      </c>
      <c r="M226">
        <v>3</v>
      </c>
      <c r="N226">
        <v>0</v>
      </c>
      <c r="O226">
        <v>0</v>
      </c>
      <c r="U226">
        <v>0</v>
      </c>
      <c r="V226">
        <v>0.7</v>
      </c>
      <c r="W226" s="103">
        <v>-1</v>
      </c>
      <c r="X226">
        <v>5351</v>
      </c>
      <c r="Y226">
        <v>5093.1499999999996</v>
      </c>
      <c r="Z226" s="103">
        <v>0</v>
      </c>
    </row>
    <row r="227" spans="1:26">
      <c r="A227">
        <v>20090406</v>
      </c>
      <c r="B227">
        <v>5560</v>
      </c>
      <c r="C227">
        <v>5619</v>
      </c>
      <c r="D227">
        <v>5493</v>
      </c>
      <c r="E227">
        <v>5525</v>
      </c>
      <c r="F227">
        <v>104797</v>
      </c>
      <c r="G227">
        <v>51</v>
      </c>
      <c r="H227">
        <v>-35</v>
      </c>
      <c r="I227">
        <v>-1</v>
      </c>
      <c r="J227">
        <v>0</v>
      </c>
      <c r="K227">
        <v>-51</v>
      </c>
      <c r="L227">
        <v>-468</v>
      </c>
      <c r="M227">
        <v>0</v>
      </c>
      <c r="N227">
        <v>0</v>
      </c>
      <c r="O227">
        <v>0</v>
      </c>
      <c r="U227">
        <v>1</v>
      </c>
      <c r="V227">
        <v>0.7</v>
      </c>
      <c r="W227" s="103">
        <v>-1</v>
      </c>
      <c r="X227">
        <v>5371.625</v>
      </c>
      <c r="Y227">
        <v>5138.2</v>
      </c>
      <c r="Z227" s="103">
        <v>0</v>
      </c>
    </row>
    <row r="228" spans="1:26">
      <c r="A228">
        <v>20090407</v>
      </c>
      <c r="B228">
        <v>5503</v>
      </c>
      <c r="C228">
        <v>5587</v>
      </c>
      <c r="D228">
        <v>5464</v>
      </c>
      <c r="E228">
        <v>5583</v>
      </c>
      <c r="F228">
        <v>97719</v>
      </c>
      <c r="G228">
        <v>-22</v>
      </c>
      <c r="H228">
        <v>80</v>
      </c>
      <c r="I228">
        <v>-1</v>
      </c>
      <c r="J228">
        <v>-1</v>
      </c>
      <c r="K228">
        <v>-80</v>
      </c>
      <c r="L228">
        <v>-548</v>
      </c>
      <c r="M228">
        <v>0</v>
      </c>
      <c r="N228">
        <v>5558.03</v>
      </c>
      <c r="O228">
        <v>5337.91</v>
      </c>
      <c r="U228">
        <v>1</v>
      </c>
      <c r="V228">
        <v>0.7</v>
      </c>
      <c r="W228" s="103">
        <v>-1</v>
      </c>
      <c r="X228">
        <v>5396.375</v>
      </c>
      <c r="Y228">
        <v>5184.55</v>
      </c>
      <c r="Z228" s="103">
        <v>0</v>
      </c>
    </row>
    <row r="229" spans="1:26">
      <c r="A229">
        <v>20090408</v>
      </c>
      <c r="B229">
        <v>5501</v>
      </c>
      <c r="C229">
        <v>5583</v>
      </c>
      <c r="D229">
        <v>5416</v>
      </c>
      <c r="E229">
        <v>5456</v>
      </c>
      <c r="F229">
        <v>134258</v>
      </c>
      <c r="G229">
        <v>-82</v>
      </c>
      <c r="H229">
        <v>-45</v>
      </c>
      <c r="I229">
        <v>-1</v>
      </c>
      <c r="J229">
        <v>-1</v>
      </c>
      <c r="K229">
        <v>127</v>
      </c>
      <c r="L229">
        <v>-421</v>
      </c>
      <c r="M229">
        <v>0</v>
      </c>
      <c r="N229">
        <v>0</v>
      </c>
      <c r="O229">
        <v>0</v>
      </c>
      <c r="U229">
        <v>0</v>
      </c>
      <c r="V229">
        <v>0.6</v>
      </c>
      <c r="W229" s="103">
        <v>-1</v>
      </c>
      <c r="X229">
        <v>5409.25</v>
      </c>
      <c r="Y229">
        <v>5219.45</v>
      </c>
      <c r="Z229" s="103">
        <v>0</v>
      </c>
    </row>
    <row r="230" spans="1:26">
      <c r="A230">
        <v>20090409</v>
      </c>
      <c r="B230">
        <v>5538</v>
      </c>
      <c r="C230">
        <v>5718</v>
      </c>
      <c r="D230">
        <v>5525</v>
      </c>
      <c r="E230">
        <v>5712</v>
      </c>
      <c r="F230">
        <v>112212</v>
      </c>
      <c r="G230">
        <v>82</v>
      </c>
      <c r="H230">
        <v>174</v>
      </c>
      <c r="I230">
        <v>-1</v>
      </c>
      <c r="J230">
        <v>-1</v>
      </c>
      <c r="K230">
        <v>-256</v>
      </c>
      <c r="L230">
        <v>-677</v>
      </c>
      <c r="M230">
        <v>0</v>
      </c>
      <c r="N230">
        <v>0</v>
      </c>
      <c r="O230">
        <v>0</v>
      </c>
      <c r="U230">
        <v>1</v>
      </c>
      <c r="V230">
        <v>0.6</v>
      </c>
      <c r="W230" s="103">
        <v>-1</v>
      </c>
      <c r="X230">
        <v>5476.375</v>
      </c>
      <c r="Y230">
        <v>5267.65</v>
      </c>
      <c r="Z230" s="103">
        <v>0</v>
      </c>
    </row>
    <row r="231" spans="1:26">
      <c r="A231">
        <v>20090410</v>
      </c>
      <c r="B231">
        <v>5762</v>
      </c>
      <c r="C231">
        <v>5830</v>
      </c>
      <c r="D231">
        <v>5696</v>
      </c>
      <c r="E231">
        <v>5827</v>
      </c>
      <c r="F231">
        <v>125751</v>
      </c>
      <c r="G231">
        <v>50</v>
      </c>
      <c r="H231">
        <v>65</v>
      </c>
      <c r="I231">
        <v>1</v>
      </c>
      <c r="J231">
        <v>-1</v>
      </c>
      <c r="K231">
        <v>-115</v>
      </c>
      <c r="L231">
        <v>-792</v>
      </c>
      <c r="M231">
        <v>3</v>
      </c>
      <c r="N231">
        <v>0</v>
      </c>
      <c r="O231">
        <v>0</v>
      </c>
      <c r="U231">
        <v>1</v>
      </c>
      <c r="V231">
        <v>0.7</v>
      </c>
      <c r="W231" s="103">
        <v>-1</v>
      </c>
      <c r="X231">
        <v>5554.625</v>
      </c>
      <c r="Y231">
        <v>5314</v>
      </c>
      <c r="Z231" s="103">
        <v>0</v>
      </c>
    </row>
    <row r="232" spans="1:26">
      <c r="A232">
        <v>20090413</v>
      </c>
      <c r="B232">
        <v>5835</v>
      </c>
      <c r="C232">
        <v>5876</v>
      </c>
      <c r="D232">
        <v>5786</v>
      </c>
      <c r="E232">
        <v>5846</v>
      </c>
      <c r="F232">
        <v>106059</v>
      </c>
      <c r="G232">
        <v>8</v>
      </c>
      <c r="H232">
        <v>11</v>
      </c>
      <c r="I232">
        <v>-1</v>
      </c>
      <c r="J232">
        <v>0</v>
      </c>
      <c r="K232">
        <v>-8</v>
      </c>
      <c r="L232">
        <v>-800</v>
      </c>
      <c r="M232">
        <v>0</v>
      </c>
      <c r="N232">
        <v>0</v>
      </c>
      <c r="O232">
        <v>0</v>
      </c>
      <c r="U232">
        <v>1</v>
      </c>
      <c r="V232">
        <v>0.8</v>
      </c>
      <c r="W232" s="103">
        <v>-1</v>
      </c>
      <c r="X232">
        <v>5621.125</v>
      </c>
      <c r="Y232">
        <v>5358.2</v>
      </c>
      <c r="Z232" s="103">
        <v>0</v>
      </c>
    </row>
    <row r="233" spans="1:26">
      <c r="A233">
        <v>20090414</v>
      </c>
      <c r="B233">
        <v>5825</v>
      </c>
      <c r="C233">
        <v>5901</v>
      </c>
      <c r="D233">
        <v>5785</v>
      </c>
      <c r="E233">
        <v>5858</v>
      </c>
      <c r="F233">
        <v>101268</v>
      </c>
      <c r="G233">
        <v>-21</v>
      </c>
      <c r="H233">
        <v>33</v>
      </c>
      <c r="I233">
        <v>-1</v>
      </c>
      <c r="J233">
        <v>-1</v>
      </c>
      <c r="K233">
        <v>-33</v>
      </c>
      <c r="L233">
        <v>-833</v>
      </c>
      <c r="M233">
        <v>0</v>
      </c>
      <c r="N233">
        <v>5883.25</v>
      </c>
      <c r="O233">
        <v>5650.25</v>
      </c>
      <c r="U233">
        <v>1</v>
      </c>
      <c r="V233">
        <v>0.8</v>
      </c>
      <c r="W233" s="103">
        <v>-1</v>
      </c>
      <c r="X233">
        <v>5664.5</v>
      </c>
      <c r="Y233">
        <v>5398.25</v>
      </c>
      <c r="Z233" s="103">
        <v>0</v>
      </c>
    </row>
    <row r="234" spans="1:26">
      <c r="A234">
        <v>20090415</v>
      </c>
      <c r="B234">
        <v>5800</v>
      </c>
      <c r="C234">
        <v>5875</v>
      </c>
      <c r="D234">
        <v>5769</v>
      </c>
      <c r="E234">
        <v>5859</v>
      </c>
      <c r="F234">
        <v>61857</v>
      </c>
      <c r="G234">
        <v>-58</v>
      </c>
      <c r="H234">
        <v>59</v>
      </c>
      <c r="I234">
        <v>-1</v>
      </c>
      <c r="J234">
        <v>-1</v>
      </c>
      <c r="K234">
        <v>-1</v>
      </c>
      <c r="L234">
        <v>-834</v>
      </c>
      <c r="M234">
        <v>0</v>
      </c>
      <c r="N234">
        <v>0</v>
      </c>
      <c r="O234">
        <v>0</v>
      </c>
      <c r="U234">
        <v>1</v>
      </c>
      <c r="V234">
        <v>0.8</v>
      </c>
      <c r="W234" s="103">
        <v>-1</v>
      </c>
      <c r="X234">
        <v>5708.25</v>
      </c>
      <c r="Y234">
        <v>5439.85</v>
      </c>
      <c r="Z234" s="103">
        <v>0</v>
      </c>
    </row>
    <row r="235" spans="1:26">
      <c r="A235">
        <v>20090416</v>
      </c>
      <c r="B235">
        <v>5999</v>
      </c>
      <c r="C235">
        <v>6047</v>
      </c>
      <c r="D235">
        <v>5950</v>
      </c>
      <c r="E235">
        <v>5994</v>
      </c>
      <c r="F235">
        <v>112920</v>
      </c>
      <c r="G235">
        <v>140</v>
      </c>
      <c r="H235">
        <v>-5</v>
      </c>
      <c r="I235">
        <v>1</v>
      </c>
      <c r="J235">
        <v>-1</v>
      </c>
      <c r="K235">
        <v>-135</v>
      </c>
      <c r="L235">
        <v>-969</v>
      </c>
      <c r="M235">
        <v>3</v>
      </c>
      <c r="N235">
        <v>0</v>
      </c>
      <c r="O235">
        <v>0</v>
      </c>
      <c r="U235">
        <v>1</v>
      </c>
      <c r="V235">
        <v>0.8</v>
      </c>
      <c r="W235" s="103">
        <v>-1</v>
      </c>
      <c r="X235">
        <v>5766.875</v>
      </c>
      <c r="Y235">
        <v>5490.55</v>
      </c>
      <c r="Z235" s="103">
        <v>0</v>
      </c>
    </row>
    <row r="236" spans="1:26">
      <c r="A236">
        <v>20090417</v>
      </c>
      <c r="B236">
        <v>6046</v>
      </c>
      <c r="C236">
        <v>6060</v>
      </c>
      <c r="D236">
        <v>5684</v>
      </c>
      <c r="E236">
        <v>5775</v>
      </c>
      <c r="F236">
        <v>149893</v>
      </c>
      <c r="G236">
        <v>52</v>
      </c>
      <c r="H236">
        <v>-271</v>
      </c>
      <c r="I236">
        <v>-1</v>
      </c>
      <c r="J236">
        <v>0</v>
      </c>
      <c r="K236">
        <v>-52</v>
      </c>
      <c r="L236">
        <v>-1021</v>
      </c>
      <c r="M236">
        <v>0</v>
      </c>
      <c r="N236">
        <v>0</v>
      </c>
      <c r="O236">
        <v>0</v>
      </c>
      <c r="U236">
        <v>0</v>
      </c>
      <c r="V236">
        <v>0.8</v>
      </c>
      <c r="W236" s="103">
        <v>-1</v>
      </c>
      <c r="X236">
        <v>5790.875</v>
      </c>
      <c r="Y236">
        <v>5531.8</v>
      </c>
      <c r="Z236" s="103">
        <v>0</v>
      </c>
    </row>
    <row r="237" spans="1:26">
      <c r="A237">
        <v>20090420</v>
      </c>
      <c r="B237">
        <v>5772</v>
      </c>
      <c r="C237">
        <v>5815</v>
      </c>
      <c r="D237">
        <v>5668</v>
      </c>
      <c r="E237">
        <v>5765</v>
      </c>
      <c r="F237">
        <v>128609</v>
      </c>
      <c r="G237">
        <v>-3</v>
      </c>
      <c r="H237">
        <v>-7</v>
      </c>
      <c r="I237">
        <v>-1</v>
      </c>
      <c r="J237">
        <v>-1</v>
      </c>
      <c r="K237">
        <v>7</v>
      </c>
      <c r="L237">
        <v>-1014</v>
      </c>
      <c r="M237">
        <v>0</v>
      </c>
      <c r="N237">
        <v>5829.72</v>
      </c>
      <c r="O237">
        <v>5598.84</v>
      </c>
      <c r="U237">
        <v>0</v>
      </c>
      <c r="V237">
        <v>0.7</v>
      </c>
      <c r="W237" s="103">
        <v>-1</v>
      </c>
      <c r="X237">
        <v>5829.5</v>
      </c>
      <c r="Y237">
        <v>5563.5</v>
      </c>
      <c r="Z237" s="103">
        <v>0</v>
      </c>
    </row>
    <row r="238" spans="1:26">
      <c r="A238">
        <v>20090421</v>
      </c>
      <c r="B238">
        <v>5667</v>
      </c>
      <c r="C238">
        <v>5899</v>
      </c>
      <c r="D238">
        <v>5654</v>
      </c>
      <c r="E238">
        <v>5896</v>
      </c>
      <c r="F238">
        <v>131984</v>
      </c>
      <c r="G238">
        <v>-98</v>
      </c>
      <c r="H238">
        <v>229</v>
      </c>
      <c r="I238">
        <v>-1</v>
      </c>
      <c r="J238">
        <v>-1</v>
      </c>
      <c r="K238">
        <v>-131</v>
      </c>
      <c r="L238">
        <v>-1145</v>
      </c>
      <c r="M238">
        <v>0</v>
      </c>
      <c r="N238">
        <v>0</v>
      </c>
      <c r="O238">
        <v>0</v>
      </c>
      <c r="U238">
        <v>1</v>
      </c>
      <c r="V238">
        <v>0.7</v>
      </c>
      <c r="W238" s="103">
        <v>-1</v>
      </c>
      <c r="X238">
        <v>5852.5</v>
      </c>
      <c r="Y238">
        <v>5595.2</v>
      </c>
      <c r="Z238" s="103">
        <v>0</v>
      </c>
    </row>
    <row r="239" spans="1:26">
      <c r="A239">
        <v>20090422</v>
      </c>
      <c r="B239">
        <v>5865</v>
      </c>
      <c r="C239">
        <v>5928</v>
      </c>
      <c r="D239">
        <v>5833</v>
      </c>
      <c r="E239">
        <v>5847</v>
      </c>
      <c r="F239">
        <v>115853</v>
      </c>
      <c r="G239">
        <v>-31</v>
      </c>
      <c r="H239">
        <v>-18</v>
      </c>
      <c r="I239">
        <v>1</v>
      </c>
      <c r="J239">
        <v>-1</v>
      </c>
      <c r="K239">
        <v>49</v>
      </c>
      <c r="L239">
        <v>-1096</v>
      </c>
      <c r="M239">
        <v>3</v>
      </c>
      <c r="N239">
        <v>0</v>
      </c>
      <c r="O239">
        <v>0</v>
      </c>
      <c r="U239">
        <v>0</v>
      </c>
      <c r="V239">
        <v>0.7</v>
      </c>
      <c r="W239" s="103">
        <v>-1</v>
      </c>
      <c r="X239">
        <v>5855</v>
      </c>
      <c r="Y239">
        <v>5619.55</v>
      </c>
      <c r="Z239" s="103">
        <v>0</v>
      </c>
    </row>
    <row r="240" spans="1:26">
      <c r="A240">
        <v>20090423</v>
      </c>
      <c r="B240">
        <v>5870</v>
      </c>
      <c r="C240">
        <v>5906</v>
      </c>
      <c r="D240">
        <v>5755</v>
      </c>
      <c r="E240">
        <v>5901</v>
      </c>
      <c r="F240">
        <v>138403</v>
      </c>
      <c r="G240">
        <v>23</v>
      </c>
      <c r="H240">
        <v>31</v>
      </c>
      <c r="I240">
        <v>-1</v>
      </c>
      <c r="J240">
        <v>0</v>
      </c>
      <c r="K240">
        <v>-23</v>
      </c>
      <c r="L240">
        <v>-1119</v>
      </c>
      <c r="M240">
        <v>0</v>
      </c>
      <c r="N240">
        <v>0</v>
      </c>
      <c r="O240">
        <v>0</v>
      </c>
      <c r="U240">
        <v>1</v>
      </c>
      <c r="V240">
        <v>0.7</v>
      </c>
      <c r="W240" s="103">
        <v>-1</v>
      </c>
      <c r="X240">
        <v>5861.875</v>
      </c>
      <c r="Y240">
        <v>5645.35</v>
      </c>
      <c r="Z240" s="103">
        <v>0</v>
      </c>
    </row>
    <row r="241" spans="1:26">
      <c r="A241">
        <v>20090424</v>
      </c>
      <c r="B241">
        <v>5915</v>
      </c>
      <c r="C241">
        <v>5998</v>
      </c>
      <c r="D241">
        <v>5791</v>
      </c>
      <c r="E241">
        <v>5904</v>
      </c>
      <c r="F241">
        <v>146115</v>
      </c>
      <c r="G241">
        <v>14</v>
      </c>
      <c r="H241">
        <v>-11</v>
      </c>
      <c r="I241">
        <v>-1</v>
      </c>
      <c r="J241">
        <v>-1</v>
      </c>
      <c r="K241">
        <v>11</v>
      </c>
      <c r="L241">
        <v>-1108</v>
      </c>
      <c r="M241">
        <v>0</v>
      </c>
      <c r="N241">
        <v>5974.15</v>
      </c>
      <c r="O241">
        <v>5737.55</v>
      </c>
      <c r="U241">
        <v>1</v>
      </c>
      <c r="V241">
        <v>0.7</v>
      </c>
      <c r="W241" s="103">
        <v>-1</v>
      </c>
      <c r="X241">
        <v>5867.625</v>
      </c>
      <c r="Y241">
        <v>5672.9</v>
      </c>
      <c r="Z241" s="103">
        <v>0</v>
      </c>
    </row>
    <row r="242" spans="1:26">
      <c r="A242">
        <v>20090427</v>
      </c>
      <c r="B242">
        <v>5930</v>
      </c>
      <c r="C242">
        <v>5950</v>
      </c>
      <c r="D242">
        <v>5676</v>
      </c>
      <c r="E242">
        <v>5710</v>
      </c>
      <c r="F242">
        <v>147666</v>
      </c>
      <c r="G242">
        <v>26</v>
      </c>
      <c r="H242">
        <v>-220</v>
      </c>
      <c r="I242">
        <v>-1</v>
      </c>
      <c r="J242">
        <v>-1</v>
      </c>
      <c r="K242">
        <v>194</v>
      </c>
      <c r="L242">
        <v>-914</v>
      </c>
      <c r="M242">
        <v>0</v>
      </c>
      <c r="N242">
        <v>0</v>
      </c>
      <c r="O242">
        <v>0</v>
      </c>
      <c r="U242">
        <v>0</v>
      </c>
      <c r="V242">
        <v>0.6</v>
      </c>
      <c r="W242" s="103">
        <v>-1</v>
      </c>
      <c r="X242">
        <v>5849</v>
      </c>
      <c r="Y242">
        <v>5699.65</v>
      </c>
      <c r="Z242" s="103">
        <v>0</v>
      </c>
    </row>
    <row r="243" spans="1:26">
      <c r="A243">
        <v>20090428</v>
      </c>
      <c r="B243">
        <v>5766</v>
      </c>
      <c r="C243">
        <v>5784</v>
      </c>
      <c r="D243">
        <v>5576</v>
      </c>
      <c r="E243">
        <v>5580</v>
      </c>
      <c r="F243">
        <v>159400</v>
      </c>
      <c r="G243">
        <v>56</v>
      </c>
      <c r="H243">
        <v>-186</v>
      </c>
      <c r="I243">
        <v>0</v>
      </c>
      <c r="J243">
        <v>-1</v>
      </c>
      <c r="K243">
        <v>130</v>
      </c>
      <c r="L243">
        <v>-784</v>
      </c>
      <c r="M243">
        <v>0</v>
      </c>
      <c r="N243">
        <v>0</v>
      </c>
      <c r="O243">
        <v>0</v>
      </c>
      <c r="U243">
        <v>0</v>
      </c>
      <c r="V243">
        <v>0.5</v>
      </c>
      <c r="W243" s="103">
        <v>0</v>
      </c>
      <c r="X243">
        <v>5797.25</v>
      </c>
      <c r="Y243">
        <v>5718.6</v>
      </c>
      <c r="Z243" s="103">
        <v>0</v>
      </c>
    </row>
    <row r="244" spans="1:26">
      <c r="A244">
        <v>20090429</v>
      </c>
      <c r="B244">
        <v>5648</v>
      </c>
      <c r="C244">
        <v>5664</v>
      </c>
      <c r="D244">
        <v>5584</v>
      </c>
      <c r="E244">
        <v>5623</v>
      </c>
      <c r="F244">
        <v>109574</v>
      </c>
      <c r="G244">
        <v>68</v>
      </c>
      <c r="H244">
        <v>-25</v>
      </c>
      <c r="I244">
        <v>1</v>
      </c>
      <c r="J244">
        <v>-1</v>
      </c>
      <c r="K244">
        <v>-43</v>
      </c>
      <c r="L244">
        <v>-827</v>
      </c>
      <c r="M244">
        <v>4</v>
      </c>
      <c r="N244">
        <v>0</v>
      </c>
      <c r="O244">
        <v>0</v>
      </c>
      <c r="U244">
        <v>1</v>
      </c>
      <c r="V244">
        <v>0.5</v>
      </c>
      <c r="W244" s="103">
        <v>0</v>
      </c>
      <c r="X244">
        <v>5778.25</v>
      </c>
      <c r="Y244">
        <v>5734.05</v>
      </c>
      <c r="Z244" s="103">
        <v>0</v>
      </c>
    </row>
    <row r="245" spans="1:26">
      <c r="A245">
        <v>20090430</v>
      </c>
      <c r="B245">
        <v>6015</v>
      </c>
      <c r="C245">
        <v>6015</v>
      </c>
      <c r="D245">
        <v>5995</v>
      </c>
      <c r="E245">
        <v>6015</v>
      </c>
      <c r="F245">
        <v>29279</v>
      </c>
      <c r="G245">
        <v>392</v>
      </c>
      <c r="H245">
        <v>0</v>
      </c>
      <c r="I245">
        <v>0</v>
      </c>
      <c r="J245">
        <v>0</v>
      </c>
      <c r="K245">
        <v>-392</v>
      </c>
      <c r="L245">
        <v>-1219</v>
      </c>
      <c r="M245">
        <v>0</v>
      </c>
      <c r="N245">
        <v>0</v>
      </c>
      <c r="O245">
        <v>0</v>
      </c>
      <c r="U245">
        <v>1</v>
      </c>
      <c r="V245">
        <v>0.5</v>
      </c>
      <c r="W245" s="103">
        <v>0</v>
      </c>
      <c r="X245">
        <v>5809.5</v>
      </c>
      <c r="Y245">
        <v>5759.25</v>
      </c>
      <c r="Z245" s="103">
        <v>0</v>
      </c>
    </row>
    <row r="246" spans="1:26">
      <c r="A246">
        <v>20090504</v>
      </c>
      <c r="B246">
        <v>6363</v>
      </c>
      <c r="C246">
        <v>6436</v>
      </c>
      <c r="D246">
        <v>6301</v>
      </c>
      <c r="E246">
        <v>6436</v>
      </c>
      <c r="F246">
        <v>39606</v>
      </c>
      <c r="G246">
        <v>348</v>
      </c>
      <c r="H246">
        <v>73</v>
      </c>
      <c r="I246">
        <v>-1</v>
      </c>
      <c r="J246">
        <v>0</v>
      </c>
      <c r="K246">
        <v>0</v>
      </c>
      <c r="L246">
        <v>-1219</v>
      </c>
      <c r="M246">
        <v>0</v>
      </c>
      <c r="N246">
        <v>0</v>
      </c>
      <c r="O246">
        <v>0</v>
      </c>
      <c r="U246">
        <v>1</v>
      </c>
      <c r="V246">
        <v>0.6</v>
      </c>
      <c r="W246" s="103">
        <v>-1</v>
      </c>
      <c r="X246">
        <v>5877</v>
      </c>
      <c r="Y246">
        <v>5805.6</v>
      </c>
      <c r="Z246" s="103">
        <v>0</v>
      </c>
    </row>
    <row r="247" spans="1:26">
      <c r="A247">
        <v>20090505</v>
      </c>
      <c r="B247">
        <v>6637</v>
      </c>
      <c r="C247">
        <v>6720</v>
      </c>
      <c r="D247">
        <v>6426</v>
      </c>
      <c r="E247">
        <v>6542</v>
      </c>
      <c r="F247">
        <v>155017</v>
      </c>
      <c r="G247">
        <v>201</v>
      </c>
      <c r="H247">
        <v>-95</v>
      </c>
      <c r="I247">
        <v>-1</v>
      </c>
      <c r="J247">
        <v>-1</v>
      </c>
      <c r="K247">
        <v>95</v>
      </c>
      <c r="L247">
        <v>-1124</v>
      </c>
      <c r="M247">
        <v>0</v>
      </c>
      <c r="N247">
        <v>6703.37</v>
      </c>
      <c r="O247">
        <v>6437.8899999999994</v>
      </c>
      <c r="U247">
        <v>1</v>
      </c>
      <c r="V247">
        <v>0.7</v>
      </c>
      <c r="W247" s="103">
        <v>-1</v>
      </c>
      <c r="X247">
        <v>5963.875</v>
      </c>
      <c r="Y247">
        <v>5856.45</v>
      </c>
      <c r="Z247" s="103">
        <v>0</v>
      </c>
    </row>
    <row r="248" spans="1:26">
      <c r="A248">
        <v>20090506</v>
      </c>
      <c r="B248">
        <v>6510</v>
      </c>
      <c r="C248">
        <v>6585</v>
      </c>
      <c r="D248">
        <v>6412</v>
      </c>
      <c r="E248">
        <v>6536</v>
      </c>
      <c r="F248">
        <v>119634</v>
      </c>
      <c r="G248">
        <v>-32</v>
      </c>
      <c r="H248">
        <v>26</v>
      </c>
      <c r="I248">
        <v>-1</v>
      </c>
      <c r="J248">
        <v>-1</v>
      </c>
      <c r="K248">
        <v>6</v>
      </c>
      <c r="L248">
        <v>-1118</v>
      </c>
      <c r="M248">
        <v>0</v>
      </c>
      <c r="N248">
        <v>0</v>
      </c>
      <c r="O248">
        <v>0</v>
      </c>
      <c r="U248">
        <v>0</v>
      </c>
      <c r="V248">
        <v>0.6</v>
      </c>
      <c r="W248" s="103">
        <v>-1</v>
      </c>
      <c r="X248">
        <v>6043.25</v>
      </c>
      <c r="Y248">
        <v>5904.1</v>
      </c>
      <c r="Z248" s="103">
        <v>0</v>
      </c>
    </row>
    <row r="249" spans="1:26">
      <c r="A249">
        <v>20090507</v>
      </c>
      <c r="B249">
        <v>6606</v>
      </c>
      <c r="C249">
        <v>6630</v>
      </c>
      <c r="D249">
        <v>6446</v>
      </c>
      <c r="E249">
        <v>6613</v>
      </c>
      <c r="F249">
        <v>109116</v>
      </c>
      <c r="G249">
        <v>70</v>
      </c>
      <c r="H249">
        <v>7</v>
      </c>
      <c r="I249">
        <v>-1</v>
      </c>
      <c r="J249">
        <v>-1</v>
      </c>
      <c r="K249">
        <v>-77</v>
      </c>
      <c r="L249">
        <v>-1195</v>
      </c>
      <c r="M249">
        <v>0</v>
      </c>
      <c r="N249">
        <v>0</v>
      </c>
      <c r="O249">
        <v>0</v>
      </c>
      <c r="U249">
        <v>1</v>
      </c>
      <c r="V249">
        <v>0.7</v>
      </c>
      <c r="W249" s="103">
        <v>-1</v>
      </c>
      <c r="X249">
        <v>6131.875</v>
      </c>
      <c r="Y249">
        <v>5961.95</v>
      </c>
      <c r="Z249" s="103">
        <v>0</v>
      </c>
    </row>
    <row r="250" spans="1:26">
      <c r="A250">
        <v>20090508</v>
      </c>
      <c r="B250">
        <v>6570</v>
      </c>
      <c r="C250">
        <v>6598</v>
      </c>
      <c r="D250">
        <v>6506</v>
      </c>
      <c r="E250">
        <v>6572</v>
      </c>
      <c r="F250">
        <v>93272</v>
      </c>
      <c r="G250">
        <v>-43</v>
      </c>
      <c r="H250">
        <v>2</v>
      </c>
      <c r="I250">
        <v>-1</v>
      </c>
      <c r="J250">
        <v>-1</v>
      </c>
      <c r="K250">
        <v>41</v>
      </c>
      <c r="L250">
        <v>-1154</v>
      </c>
      <c r="M250">
        <v>0</v>
      </c>
      <c r="N250">
        <v>0</v>
      </c>
      <c r="O250">
        <v>0</v>
      </c>
      <c r="U250">
        <v>0</v>
      </c>
      <c r="V250">
        <v>0.6</v>
      </c>
      <c r="W250" s="103">
        <v>-1</v>
      </c>
      <c r="X250">
        <v>6239.625</v>
      </c>
      <c r="Y250">
        <v>6004.95</v>
      </c>
      <c r="Z250" s="103">
        <v>0</v>
      </c>
    </row>
    <row r="251" spans="1:26">
      <c r="A251">
        <v>20090511</v>
      </c>
      <c r="B251">
        <v>6549</v>
      </c>
      <c r="C251">
        <v>6697</v>
      </c>
      <c r="D251">
        <v>6522</v>
      </c>
      <c r="E251">
        <v>6597</v>
      </c>
      <c r="F251">
        <v>100228</v>
      </c>
      <c r="G251">
        <v>-23</v>
      </c>
      <c r="H251">
        <v>48</v>
      </c>
      <c r="I251">
        <v>-1</v>
      </c>
      <c r="J251">
        <v>-1</v>
      </c>
      <c r="K251">
        <v>-25</v>
      </c>
      <c r="L251">
        <v>-1179</v>
      </c>
      <c r="M251">
        <v>0</v>
      </c>
      <c r="N251">
        <v>0</v>
      </c>
      <c r="O251">
        <v>0</v>
      </c>
      <c r="U251">
        <v>1</v>
      </c>
      <c r="V251">
        <v>0.6</v>
      </c>
      <c r="W251" s="103">
        <v>-1</v>
      </c>
      <c r="X251">
        <v>6366.75</v>
      </c>
      <c r="Y251">
        <v>6043.45</v>
      </c>
      <c r="Z251" s="103">
        <v>0</v>
      </c>
    </row>
    <row r="252" spans="1:26">
      <c r="A252">
        <v>20090512</v>
      </c>
      <c r="B252">
        <v>6562</v>
      </c>
      <c r="C252">
        <v>6586</v>
      </c>
      <c r="D252">
        <v>6385</v>
      </c>
      <c r="E252">
        <v>6447</v>
      </c>
      <c r="F252">
        <v>125215</v>
      </c>
      <c r="G252">
        <v>-35</v>
      </c>
      <c r="H252">
        <v>-115</v>
      </c>
      <c r="I252">
        <v>-1</v>
      </c>
      <c r="J252">
        <v>-1</v>
      </c>
      <c r="K252">
        <v>150</v>
      </c>
      <c r="L252">
        <v>-1029</v>
      </c>
      <c r="M252">
        <v>0</v>
      </c>
      <c r="N252">
        <v>0</v>
      </c>
      <c r="O252">
        <v>0</v>
      </c>
      <c r="U252">
        <v>0</v>
      </c>
      <c r="V252">
        <v>0.6</v>
      </c>
      <c r="W252" s="103">
        <v>-1</v>
      </c>
      <c r="X252">
        <v>6469.75</v>
      </c>
      <c r="Y252">
        <v>6073.5</v>
      </c>
      <c r="Z252" s="103">
        <v>0</v>
      </c>
    </row>
    <row r="253" spans="1:26">
      <c r="A253">
        <v>20090513</v>
      </c>
      <c r="B253">
        <v>6454</v>
      </c>
      <c r="C253">
        <v>6499</v>
      </c>
      <c r="D253">
        <v>6420</v>
      </c>
      <c r="E253">
        <v>6469</v>
      </c>
      <c r="F253">
        <v>81204</v>
      </c>
      <c r="G253">
        <v>7</v>
      </c>
      <c r="H253">
        <v>15</v>
      </c>
      <c r="I253">
        <v>-1</v>
      </c>
      <c r="J253">
        <v>-1</v>
      </c>
      <c r="K253">
        <v>-22</v>
      </c>
      <c r="L253">
        <v>-1051</v>
      </c>
      <c r="M253">
        <v>0</v>
      </c>
      <c r="N253">
        <v>0</v>
      </c>
      <c r="O253">
        <v>0</v>
      </c>
      <c r="U253">
        <v>1</v>
      </c>
      <c r="V253">
        <v>0.7</v>
      </c>
      <c r="W253" s="103">
        <v>-1</v>
      </c>
      <c r="X253">
        <v>6526.5</v>
      </c>
      <c r="Y253">
        <v>6104.05</v>
      </c>
      <c r="Z253" s="103">
        <v>0</v>
      </c>
    </row>
    <row r="254" spans="1:26">
      <c r="A254">
        <v>20090514</v>
      </c>
      <c r="B254">
        <v>6355</v>
      </c>
      <c r="C254">
        <v>6419</v>
      </c>
      <c r="D254">
        <v>6315</v>
      </c>
      <c r="E254">
        <v>6321</v>
      </c>
      <c r="F254">
        <v>90054</v>
      </c>
      <c r="G254">
        <v>-114</v>
      </c>
      <c r="H254">
        <v>-34</v>
      </c>
      <c r="I254">
        <v>1</v>
      </c>
      <c r="J254">
        <v>-1</v>
      </c>
      <c r="K254">
        <v>148</v>
      </c>
      <c r="L254">
        <v>-903</v>
      </c>
      <c r="M254">
        <v>4</v>
      </c>
      <c r="N254">
        <v>0</v>
      </c>
      <c r="O254">
        <v>0</v>
      </c>
      <c r="U254">
        <v>0</v>
      </c>
      <c r="V254">
        <v>0.6</v>
      </c>
      <c r="W254" s="103">
        <v>-1</v>
      </c>
      <c r="X254">
        <v>6512.125</v>
      </c>
      <c r="Y254">
        <v>6127.15</v>
      </c>
      <c r="Z254" s="103">
        <v>0</v>
      </c>
    </row>
    <row r="255" spans="1:26">
      <c r="A255">
        <v>20090515</v>
      </c>
      <c r="B255">
        <v>6372</v>
      </c>
      <c r="C255">
        <v>6509</v>
      </c>
      <c r="D255">
        <v>6356</v>
      </c>
      <c r="E255">
        <v>6476</v>
      </c>
      <c r="F255">
        <v>97643</v>
      </c>
      <c r="G255">
        <v>51</v>
      </c>
      <c r="H255">
        <v>104</v>
      </c>
      <c r="I255">
        <v>-1</v>
      </c>
      <c r="J255">
        <v>0</v>
      </c>
      <c r="K255">
        <v>-51</v>
      </c>
      <c r="L255">
        <v>-954</v>
      </c>
      <c r="M255">
        <v>0</v>
      </c>
      <c r="N255">
        <v>0</v>
      </c>
      <c r="O255">
        <v>0</v>
      </c>
      <c r="U255">
        <v>1</v>
      </c>
      <c r="V255">
        <v>0.6</v>
      </c>
      <c r="W255" s="103">
        <v>-1</v>
      </c>
      <c r="X255">
        <v>6503.875</v>
      </c>
      <c r="Y255">
        <v>6151.25</v>
      </c>
      <c r="Z255" s="103">
        <v>0</v>
      </c>
    </row>
    <row r="256" spans="1:26">
      <c r="A256">
        <v>20090518</v>
      </c>
      <c r="B256">
        <v>6424</v>
      </c>
      <c r="C256">
        <v>6573</v>
      </c>
      <c r="D256">
        <v>6402</v>
      </c>
      <c r="E256">
        <v>6561</v>
      </c>
      <c r="F256">
        <v>103280</v>
      </c>
      <c r="G256">
        <v>-52</v>
      </c>
      <c r="H256">
        <v>137</v>
      </c>
      <c r="I256">
        <v>-1</v>
      </c>
      <c r="J256">
        <v>-1</v>
      </c>
      <c r="K256">
        <v>-137</v>
      </c>
      <c r="L256">
        <v>-1091</v>
      </c>
      <c r="M256">
        <v>0</v>
      </c>
      <c r="N256">
        <v>6488.24</v>
      </c>
      <c r="O256">
        <v>6231.28</v>
      </c>
      <c r="U256">
        <v>1</v>
      </c>
      <c r="V256">
        <v>0.6</v>
      </c>
      <c r="W256" s="103">
        <v>-1</v>
      </c>
      <c r="X256">
        <v>6507</v>
      </c>
      <c r="Y256">
        <v>6190.55</v>
      </c>
      <c r="Z256" s="103">
        <v>0</v>
      </c>
    </row>
    <row r="257" spans="1:26">
      <c r="A257">
        <v>20090519</v>
      </c>
      <c r="B257">
        <v>6715</v>
      </c>
      <c r="C257">
        <v>6804</v>
      </c>
      <c r="D257">
        <v>6623</v>
      </c>
      <c r="E257">
        <v>6693</v>
      </c>
      <c r="F257">
        <v>103465</v>
      </c>
      <c r="G257">
        <v>154</v>
      </c>
      <c r="H257">
        <v>-22</v>
      </c>
      <c r="I257">
        <v>1</v>
      </c>
      <c r="J257">
        <v>-1</v>
      </c>
      <c r="K257">
        <v>-132</v>
      </c>
      <c r="L257">
        <v>-1223</v>
      </c>
      <c r="M257">
        <v>3</v>
      </c>
      <c r="N257">
        <v>0</v>
      </c>
      <c r="O257">
        <v>0</v>
      </c>
      <c r="U257">
        <v>1</v>
      </c>
      <c r="V257">
        <v>0.6</v>
      </c>
      <c r="W257" s="103">
        <v>-1</v>
      </c>
      <c r="X257">
        <v>6517</v>
      </c>
      <c r="Y257">
        <v>6236.95</v>
      </c>
      <c r="Z257" s="103">
        <v>0</v>
      </c>
    </row>
    <row r="258" spans="1:26">
      <c r="A258">
        <v>20090520</v>
      </c>
      <c r="B258">
        <v>6685</v>
      </c>
      <c r="C258">
        <v>6716</v>
      </c>
      <c r="D258">
        <v>6570</v>
      </c>
      <c r="E258">
        <v>6668</v>
      </c>
      <c r="F258">
        <v>55009</v>
      </c>
      <c r="G258">
        <v>-8</v>
      </c>
      <c r="H258">
        <v>-17</v>
      </c>
      <c r="I258">
        <v>-1</v>
      </c>
      <c r="J258">
        <v>0</v>
      </c>
      <c r="K258">
        <v>8</v>
      </c>
      <c r="L258">
        <v>-1215</v>
      </c>
      <c r="M258">
        <v>0</v>
      </c>
      <c r="N258">
        <v>0</v>
      </c>
      <c r="O258">
        <v>0</v>
      </c>
      <c r="U258">
        <v>0</v>
      </c>
      <c r="V258">
        <v>0.6</v>
      </c>
      <c r="W258" s="103">
        <v>-1</v>
      </c>
      <c r="X258">
        <v>6529</v>
      </c>
      <c r="Y258">
        <v>6275.55</v>
      </c>
      <c r="Z258" s="103">
        <v>0</v>
      </c>
    </row>
    <row r="259" spans="1:26">
      <c r="A259">
        <v>20090521</v>
      </c>
      <c r="B259">
        <v>6629</v>
      </c>
      <c r="C259">
        <v>6695</v>
      </c>
      <c r="D259">
        <v>6605</v>
      </c>
      <c r="E259">
        <v>6671</v>
      </c>
      <c r="F259">
        <v>91016</v>
      </c>
      <c r="G259">
        <v>-39</v>
      </c>
      <c r="H259">
        <v>42</v>
      </c>
      <c r="I259">
        <v>-1</v>
      </c>
      <c r="J259">
        <v>-1</v>
      </c>
      <c r="K259">
        <v>-42</v>
      </c>
      <c r="L259">
        <v>-1257</v>
      </c>
      <c r="M259">
        <v>0</v>
      </c>
      <c r="N259">
        <v>6695.29</v>
      </c>
      <c r="O259">
        <v>6430.13</v>
      </c>
      <c r="U259">
        <v>1</v>
      </c>
      <c r="V259">
        <v>0.6</v>
      </c>
      <c r="W259" s="103">
        <v>-1</v>
      </c>
      <c r="X259">
        <v>6538.25</v>
      </c>
      <c r="Y259">
        <v>6316.75</v>
      </c>
      <c r="Z259" s="103">
        <v>0</v>
      </c>
    </row>
    <row r="260" spans="1:26">
      <c r="A260">
        <v>20090522</v>
      </c>
      <c r="B260">
        <v>6605</v>
      </c>
      <c r="C260">
        <v>6732</v>
      </c>
      <c r="D260">
        <v>6595</v>
      </c>
      <c r="E260">
        <v>6692</v>
      </c>
      <c r="F260">
        <v>90225</v>
      </c>
      <c r="G260">
        <v>-66</v>
      </c>
      <c r="H260">
        <v>87</v>
      </c>
      <c r="I260">
        <v>-1</v>
      </c>
      <c r="J260">
        <v>-1</v>
      </c>
      <c r="K260">
        <v>-21</v>
      </c>
      <c r="L260">
        <v>-1278</v>
      </c>
      <c r="M260">
        <v>0</v>
      </c>
      <c r="N260">
        <v>0</v>
      </c>
      <c r="O260">
        <v>0</v>
      </c>
      <c r="U260">
        <v>1</v>
      </c>
      <c r="V260">
        <v>0.7</v>
      </c>
      <c r="W260" s="103">
        <v>-1</v>
      </c>
      <c r="X260">
        <v>6568.875</v>
      </c>
      <c r="Y260">
        <v>6356.3</v>
      </c>
      <c r="Z260" s="103">
        <v>0</v>
      </c>
    </row>
    <row r="261" spans="1:26">
      <c r="A261">
        <v>20090525</v>
      </c>
      <c r="B261">
        <v>6751</v>
      </c>
      <c r="C261">
        <v>6837</v>
      </c>
      <c r="D261">
        <v>6647</v>
      </c>
      <c r="E261">
        <v>6724</v>
      </c>
      <c r="F261">
        <v>109495</v>
      </c>
      <c r="G261">
        <v>59</v>
      </c>
      <c r="H261">
        <v>-27</v>
      </c>
      <c r="I261">
        <v>1</v>
      </c>
      <c r="J261">
        <v>-1</v>
      </c>
      <c r="K261">
        <v>-32</v>
      </c>
      <c r="L261">
        <v>-1310</v>
      </c>
      <c r="M261">
        <v>3</v>
      </c>
      <c r="N261">
        <v>0</v>
      </c>
      <c r="O261">
        <v>0</v>
      </c>
      <c r="U261">
        <v>1</v>
      </c>
      <c r="V261">
        <v>0.7</v>
      </c>
      <c r="W261" s="103">
        <v>-1</v>
      </c>
      <c r="X261">
        <v>6600.75</v>
      </c>
      <c r="Y261">
        <v>6397.3</v>
      </c>
      <c r="Z261" s="103">
        <v>0</v>
      </c>
    </row>
    <row r="262" spans="1:26">
      <c r="A262">
        <v>20090526</v>
      </c>
      <c r="B262">
        <v>6700</v>
      </c>
      <c r="C262">
        <v>6761</v>
      </c>
      <c r="D262">
        <v>6633</v>
      </c>
      <c r="E262">
        <v>6646</v>
      </c>
      <c r="F262">
        <v>94233</v>
      </c>
      <c r="G262">
        <v>-24</v>
      </c>
      <c r="H262">
        <v>-54</v>
      </c>
      <c r="I262">
        <v>-1</v>
      </c>
      <c r="J262">
        <v>0</v>
      </c>
      <c r="K262">
        <v>24</v>
      </c>
      <c r="L262">
        <v>-1286</v>
      </c>
      <c r="M262">
        <v>0</v>
      </c>
      <c r="N262">
        <v>0</v>
      </c>
      <c r="O262">
        <v>0</v>
      </c>
      <c r="U262">
        <v>0</v>
      </c>
      <c r="V262">
        <v>0.7</v>
      </c>
      <c r="W262" s="103">
        <v>-1</v>
      </c>
      <c r="X262">
        <v>6641.375</v>
      </c>
      <c r="Y262">
        <v>6444.1</v>
      </c>
      <c r="Z262" s="103">
        <v>0</v>
      </c>
    </row>
    <row r="263" spans="1:26">
      <c r="A263">
        <v>20090527</v>
      </c>
      <c r="B263">
        <v>6720</v>
      </c>
      <c r="C263">
        <v>6997</v>
      </c>
      <c r="D263">
        <v>6699</v>
      </c>
      <c r="E263">
        <v>6932</v>
      </c>
      <c r="F263">
        <v>115296</v>
      </c>
      <c r="G263">
        <v>74</v>
      </c>
      <c r="H263">
        <v>212</v>
      </c>
      <c r="I263">
        <v>-1</v>
      </c>
      <c r="J263">
        <v>-1</v>
      </c>
      <c r="K263">
        <v>-212</v>
      </c>
      <c r="L263">
        <v>-1498</v>
      </c>
      <c r="M263">
        <v>0</v>
      </c>
      <c r="N263">
        <v>6787.2</v>
      </c>
      <c r="O263">
        <v>6518.4</v>
      </c>
      <c r="U263">
        <v>1</v>
      </c>
      <c r="V263">
        <v>0.7</v>
      </c>
      <c r="W263" s="103">
        <v>-1</v>
      </c>
      <c r="X263">
        <v>6698.375</v>
      </c>
      <c r="Y263">
        <v>6511.7</v>
      </c>
      <c r="Z263" s="103">
        <v>0</v>
      </c>
    </row>
    <row r="264" spans="1:26">
      <c r="A264">
        <v>20090601</v>
      </c>
      <c r="B264">
        <v>6980</v>
      </c>
      <c r="C264">
        <v>7010</v>
      </c>
      <c r="D264">
        <v>6900</v>
      </c>
      <c r="E264">
        <v>6954</v>
      </c>
      <c r="F264">
        <v>76090</v>
      </c>
      <c r="G264">
        <v>48</v>
      </c>
      <c r="H264">
        <v>-26</v>
      </c>
      <c r="I264">
        <v>1</v>
      </c>
      <c r="J264">
        <v>-1</v>
      </c>
      <c r="K264">
        <v>-22</v>
      </c>
      <c r="L264">
        <v>-1520</v>
      </c>
      <c r="M264">
        <v>3</v>
      </c>
      <c r="N264">
        <v>0</v>
      </c>
      <c r="O264">
        <v>0</v>
      </c>
      <c r="U264">
        <v>1</v>
      </c>
      <c r="V264">
        <v>0.8</v>
      </c>
      <c r="W264" s="103">
        <v>-1</v>
      </c>
      <c r="X264">
        <v>6747.5</v>
      </c>
      <c r="Y264">
        <v>6578.25</v>
      </c>
      <c r="Z264" s="103">
        <v>0</v>
      </c>
    </row>
    <row r="265" spans="1:26">
      <c r="A265">
        <v>20090602</v>
      </c>
      <c r="B265">
        <v>7037</v>
      </c>
      <c r="C265">
        <v>7050</v>
      </c>
      <c r="D265">
        <v>6864</v>
      </c>
      <c r="E265">
        <v>6916</v>
      </c>
      <c r="F265">
        <v>92034</v>
      </c>
      <c r="G265">
        <v>83</v>
      </c>
      <c r="H265">
        <v>-121</v>
      </c>
      <c r="I265">
        <v>-1</v>
      </c>
      <c r="J265">
        <v>0</v>
      </c>
      <c r="K265">
        <v>-83</v>
      </c>
      <c r="L265">
        <v>-1603</v>
      </c>
      <c r="M265">
        <v>0</v>
      </c>
      <c r="N265">
        <v>0</v>
      </c>
      <c r="O265">
        <v>0</v>
      </c>
      <c r="U265">
        <v>0</v>
      </c>
      <c r="V265">
        <v>0.7</v>
      </c>
      <c r="W265" s="103">
        <v>-1</v>
      </c>
      <c r="X265">
        <v>6775.375</v>
      </c>
      <c r="Y265">
        <v>6623.3</v>
      </c>
      <c r="Z265" s="103">
        <v>0</v>
      </c>
    </row>
    <row r="266" spans="1:26">
      <c r="A266">
        <v>20090603</v>
      </c>
      <c r="B266">
        <v>6928</v>
      </c>
      <c r="C266">
        <v>6933</v>
      </c>
      <c r="D266">
        <v>6842</v>
      </c>
      <c r="E266">
        <v>6898</v>
      </c>
      <c r="F266">
        <v>80134</v>
      </c>
      <c r="G266">
        <v>12</v>
      </c>
      <c r="H266">
        <v>-30</v>
      </c>
      <c r="I266">
        <v>-1</v>
      </c>
      <c r="J266">
        <v>-1</v>
      </c>
      <c r="K266">
        <v>30</v>
      </c>
      <c r="L266">
        <v>-1573</v>
      </c>
      <c r="M266">
        <v>0</v>
      </c>
      <c r="N266">
        <v>6997.28</v>
      </c>
      <c r="O266">
        <v>6720.16</v>
      </c>
      <c r="U266">
        <v>0</v>
      </c>
      <c r="V266">
        <v>0.6</v>
      </c>
      <c r="W266" s="103">
        <v>-1</v>
      </c>
      <c r="X266">
        <v>6804.125</v>
      </c>
      <c r="Y266">
        <v>6646.4</v>
      </c>
      <c r="Z266" s="103">
        <v>0</v>
      </c>
    </row>
    <row r="267" spans="1:26">
      <c r="A267">
        <v>20090604</v>
      </c>
      <c r="B267">
        <v>6860</v>
      </c>
      <c r="C267">
        <v>6897</v>
      </c>
      <c r="D267">
        <v>6696</v>
      </c>
      <c r="E267">
        <v>6784</v>
      </c>
      <c r="F267">
        <v>112875</v>
      </c>
      <c r="G267">
        <v>-38</v>
      </c>
      <c r="H267">
        <v>-76</v>
      </c>
      <c r="I267">
        <v>0</v>
      </c>
      <c r="J267">
        <v>-1</v>
      </c>
      <c r="K267">
        <v>114</v>
      </c>
      <c r="L267">
        <v>-1459</v>
      </c>
      <c r="M267">
        <v>0</v>
      </c>
      <c r="N267">
        <v>0</v>
      </c>
      <c r="O267">
        <v>0</v>
      </c>
      <c r="U267">
        <v>0</v>
      </c>
      <c r="V267">
        <v>0.5</v>
      </c>
      <c r="W267" s="103">
        <v>0</v>
      </c>
      <c r="X267">
        <v>6818.25</v>
      </c>
      <c r="Y267">
        <v>6658.5</v>
      </c>
      <c r="Z267" s="103">
        <v>0</v>
      </c>
    </row>
    <row r="268" spans="1:26">
      <c r="A268">
        <v>20090605</v>
      </c>
      <c r="B268">
        <v>6811</v>
      </c>
      <c r="C268">
        <v>6827</v>
      </c>
      <c r="D268">
        <v>6735</v>
      </c>
      <c r="E268">
        <v>6790</v>
      </c>
      <c r="F268">
        <v>74420</v>
      </c>
      <c r="G268">
        <v>27</v>
      </c>
      <c r="H268">
        <v>-21</v>
      </c>
      <c r="I268">
        <v>-1</v>
      </c>
      <c r="J268">
        <v>-1</v>
      </c>
      <c r="K268">
        <v>-6</v>
      </c>
      <c r="L268">
        <v>-1465</v>
      </c>
      <c r="M268">
        <v>0</v>
      </c>
      <c r="N268">
        <v>0</v>
      </c>
      <c r="O268">
        <v>0</v>
      </c>
      <c r="U268">
        <v>1</v>
      </c>
      <c r="V268">
        <v>0.6</v>
      </c>
      <c r="W268" s="103">
        <v>-1</v>
      </c>
      <c r="X268">
        <v>6830.5</v>
      </c>
      <c r="Y268">
        <v>6671.2</v>
      </c>
      <c r="Z268" s="103">
        <v>0</v>
      </c>
    </row>
    <row r="269" spans="1:26">
      <c r="A269">
        <v>20090606</v>
      </c>
      <c r="B269">
        <v>6777</v>
      </c>
      <c r="C269">
        <v>6853</v>
      </c>
      <c r="D269">
        <v>6775</v>
      </c>
      <c r="E269">
        <v>6833</v>
      </c>
      <c r="F269">
        <v>39196</v>
      </c>
      <c r="G269">
        <v>-13</v>
      </c>
      <c r="H269">
        <v>56</v>
      </c>
      <c r="I269">
        <v>-1</v>
      </c>
      <c r="J269">
        <v>-1</v>
      </c>
      <c r="K269">
        <v>-43</v>
      </c>
      <c r="L269">
        <v>-1508</v>
      </c>
      <c r="M269">
        <v>0</v>
      </c>
      <c r="N269">
        <v>0</v>
      </c>
      <c r="O269">
        <v>0</v>
      </c>
      <c r="U269">
        <v>1</v>
      </c>
      <c r="V269">
        <v>0.6</v>
      </c>
      <c r="W269" s="103">
        <v>-1</v>
      </c>
      <c r="X269">
        <v>6844.125</v>
      </c>
      <c r="Y269">
        <v>6682.2</v>
      </c>
      <c r="Z269" s="103">
        <v>0</v>
      </c>
    </row>
    <row r="270" spans="1:26">
      <c r="A270">
        <v>20090608</v>
      </c>
      <c r="B270">
        <v>6865</v>
      </c>
      <c r="C270">
        <v>6884</v>
      </c>
      <c r="D270">
        <v>6612</v>
      </c>
      <c r="E270">
        <v>6643</v>
      </c>
      <c r="F270">
        <v>98319</v>
      </c>
      <c r="G270">
        <v>32</v>
      </c>
      <c r="H270">
        <v>-222</v>
      </c>
      <c r="I270">
        <v>0</v>
      </c>
      <c r="J270">
        <v>-1</v>
      </c>
      <c r="K270">
        <v>190</v>
      </c>
      <c r="L270">
        <v>-1318</v>
      </c>
      <c r="M270">
        <v>0</v>
      </c>
      <c r="N270">
        <v>0</v>
      </c>
      <c r="O270">
        <v>0</v>
      </c>
      <c r="U270">
        <v>0</v>
      </c>
      <c r="V270">
        <v>0.5</v>
      </c>
      <c r="W270" s="103">
        <v>0</v>
      </c>
      <c r="X270">
        <v>6843.75</v>
      </c>
      <c r="Y270">
        <v>6685.75</v>
      </c>
      <c r="Z270" s="103">
        <v>0</v>
      </c>
    </row>
    <row r="271" spans="1:26">
      <c r="A271">
        <v>20090609</v>
      </c>
      <c r="B271">
        <v>6668</v>
      </c>
      <c r="C271">
        <v>6668</v>
      </c>
      <c r="D271">
        <v>6390</v>
      </c>
      <c r="E271">
        <v>6413</v>
      </c>
      <c r="F271">
        <v>120934</v>
      </c>
      <c r="G271">
        <v>25</v>
      </c>
      <c r="H271">
        <v>-255</v>
      </c>
      <c r="I271">
        <v>1</v>
      </c>
      <c r="J271">
        <v>-1</v>
      </c>
      <c r="K271">
        <v>230</v>
      </c>
      <c r="L271">
        <v>-1088</v>
      </c>
      <c r="M271">
        <v>4</v>
      </c>
      <c r="N271">
        <v>0</v>
      </c>
      <c r="O271">
        <v>0</v>
      </c>
      <c r="U271">
        <v>0</v>
      </c>
      <c r="V271">
        <v>0.4</v>
      </c>
      <c r="W271" s="103">
        <v>0</v>
      </c>
      <c r="X271">
        <v>6778.875</v>
      </c>
      <c r="Y271">
        <v>6676.55</v>
      </c>
      <c r="Z271" s="103">
        <v>0</v>
      </c>
    </row>
    <row r="272" spans="1:26">
      <c r="A272">
        <v>20090610</v>
      </c>
      <c r="B272">
        <v>6458</v>
      </c>
      <c r="C272">
        <v>6504</v>
      </c>
      <c r="D272">
        <v>6385</v>
      </c>
      <c r="E272">
        <v>6459</v>
      </c>
      <c r="F272">
        <v>91260</v>
      </c>
      <c r="G272">
        <v>45</v>
      </c>
      <c r="H272">
        <v>1</v>
      </c>
      <c r="I272">
        <v>0</v>
      </c>
      <c r="J272">
        <v>0</v>
      </c>
      <c r="K272">
        <v>-45</v>
      </c>
      <c r="L272">
        <v>-1133</v>
      </c>
      <c r="M272">
        <v>0</v>
      </c>
      <c r="N272">
        <v>0</v>
      </c>
      <c r="O272">
        <v>0</v>
      </c>
      <c r="U272">
        <v>1</v>
      </c>
      <c r="V272">
        <v>0.5</v>
      </c>
      <c r="W272" s="103">
        <v>0</v>
      </c>
      <c r="X272">
        <v>6717</v>
      </c>
      <c r="Y272">
        <v>6677.15</v>
      </c>
      <c r="Z272" s="103">
        <v>0</v>
      </c>
    </row>
    <row r="273" spans="1:26">
      <c r="A273">
        <v>20090611</v>
      </c>
      <c r="B273">
        <v>6490</v>
      </c>
      <c r="C273">
        <v>6545</v>
      </c>
      <c r="D273">
        <v>6335</v>
      </c>
      <c r="E273">
        <v>6516</v>
      </c>
      <c r="F273">
        <v>122668</v>
      </c>
      <c r="G273">
        <v>31</v>
      </c>
      <c r="H273">
        <v>26</v>
      </c>
      <c r="I273">
        <v>-1</v>
      </c>
      <c r="J273">
        <v>0</v>
      </c>
      <c r="K273">
        <v>0</v>
      </c>
      <c r="L273">
        <v>-1133</v>
      </c>
      <c r="M273">
        <v>0</v>
      </c>
      <c r="N273">
        <v>0</v>
      </c>
      <c r="O273">
        <v>0</v>
      </c>
      <c r="U273">
        <v>1</v>
      </c>
      <c r="V273">
        <v>0.5</v>
      </c>
      <c r="W273" s="103">
        <v>0</v>
      </c>
      <c r="X273">
        <v>6667</v>
      </c>
      <c r="Y273">
        <v>6679.5</v>
      </c>
      <c r="Z273" s="103">
        <v>-1</v>
      </c>
    </row>
    <row r="274" spans="1:26">
      <c r="A274">
        <v>20090612</v>
      </c>
      <c r="B274">
        <v>6530</v>
      </c>
      <c r="C274">
        <v>6558</v>
      </c>
      <c r="D274">
        <v>6411</v>
      </c>
      <c r="E274">
        <v>6437</v>
      </c>
      <c r="F274">
        <v>104854</v>
      </c>
      <c r="G274">
        <v>14</v>
      </c>
      <c r="H274">
        <v>-93</v>
      </c>
      <c r="I274">
        <v>0</v>
      </c>
      <c r="J274">
        <v>-1</v>
      </c>
      <c r="K274">
        <v>93</v>
      </c>
      <c r="L274">
        <v>-1040</v>
      </c>
      <c r="M274">
        <v>0</v>
      </c>
      <c r="N274">
        <v>6595.3</v>
      </c>
      <c r="O274">
        <v>6334.0999999999995</v>
      </c>
      <c r="U274">
        <v>0</v>
      </c>
      <c r="V274">
        <v>0.4</v>
      </c>
      <c r="W274" s="103">
        <v>0</v>
      </c>
      <c r="X274">
        <v>6609.375</v>
      </c>
      <c r="Y274">
        <v>6685.3</v>
      </c>
      <c r="Z274" s="103">
        <v>0</v>
      </c>
    </row>
    <row r="275" spans="1:26">
      <c r="A275">
        <v>20090615</v>
      </c>
      <c r="B275">
        <v>6390</v>
      </c>
      <c r="C275">
        <v>6390</v>
      </c>
      <c r="D275">
        <v>6174</v>
      </c>
      <c r="E275">
        <v>6208</v>
      </c>
      <c r="F275">
        <v>115650</v>
      </c>
      <c r="G275">
        <v>-47</v>
      </c>
      <c r="H275">
        <v>-182</v>
      </c>
      <c r="I275">
        <v>0</v>
      </c>
      <c r="J275">
        <v>-1</v>
      </c>
      <c r="K275">
        <v>229</v>
      </c>
      <c r="L275">
        <v>-811</v>
      </c>
      <c r="M275">
        <v>0</v>
      </c>
      <c r="N275">
        <v>0</v>
      </c>
      <c r="O275">
        <v>0</v>
      </c>
      <c r="U275">
        <v>0</v>
      </c>
      <c r="V275">
        <v>0.4</v>
      </c>
      <c r="W275" s="103">
        <v>0</v>
      </c>
      <c r="X275">
        <v>6537.375</v>
      </c>
      <c r="Y275">
        <v>6671.9</v>
      </c>
      <c r="Z275" s="103">
        <v>0</v>
      </c>
    </row>
    <row r="276" spans="1:26">
      <c r="A276">
        <v>20090616</v>
      </c>
      <c r="B276">
        <v>6173</v>
      </c>
      <c r="C276">
        <v>6251</v>
      </c>
      <c r="D276">
        <v>6133</v>
      </c>
      <c r="E276">
        <v>6208</v>
      </c>
      <c r="F276">
        <v>98988</v>
      </c>
      <c r="G276">
        <v>-35</v>
      </c>
      <c r="H276">
        <v>35</v>
      </c>
      <c r="I276">
        <v>1</v>
      </c>
      <c r="J276">
        <v>-1</v>
      </c>
      <c r="K276">
        <v>0</v>
      </c>
      <c r="L276">
        <v>-811</v>
      </c>
      <c r="M276">
        <v>4</v>
      </c>
      <c r="N276">
        <v>0</v>
      </c>
      <c r="O276">
        <v>0</v>
      </c>
      <c r="U276">
        <v>0</v>
      </c>
      <c r="V276">
        <v>0.4</v>
      </c>
      <c r="W276" s="103">
        <v>0</v>
      </c>
      <c r="X276">
        <v>6464.625</v>
      </c>
      <c r="Y276">
        <v>6654.25</v>
      </c>
      <c r="Z276" s="103">
        <v>0</v>
      </c>
    </row>
    <row r="277" spans="1:26">
      <c r="A277">
        <v>20090617</v>
      </c>
      <c r="B277">
        <v>6170</v>
      </c>
      <c r="C277">
        <v>6211</v>
      </c>
      <c r="D277">
        <v>6106</v>
      </c>
      <c r="E277">
        <v>6142</v>
      </c>
      <c r="F277">
        <v>45281</v>
      </c>
      <c r="G277">
        <v>-38</v>
      </c>
      <c r="H277">
        <v>-28</v>
      </c>
      <c r="I277">
        <v>0</v>
      </c>
      <c r="J277">
        <v>0</v>
      </c>
      <c r="K277">
        <v>38</v>
      </c>
      <c r="L277">
        <v>-773</v>
      </c>
      <c r="M277">
        <v>0</v>
      </c>
      <c r="N277">
        <v>0</v>
      </c>
      <c r="O277">
        <v>0</v>
      </c>
      <c r="U277">
        <v>0</v>
      </c>
      <c r="V277">
        <v>0.4</v>
      </c>
      <c r="W277" s="103">
        <v>0</v>
      </c>
      <c r="X277">
        <v>6378.25</v>
      </c>
      <c r="Y277">
        <v>6626.7</v>
      </c>
      <c r="Z277" s="103">
        <v>0</v>
      </c>
    </row>
    <row r="278" spans="1:26">
      <c r="A278">
        <v>20090618</v>
      </c>
      <c r="B278">
        <v>6130</v>
      </c>
      <c r="C278">
        <v>6205</v>
      </c>
      <c r="D278">
        <v>5994</v>
      </c>
      <c r="E278">
        <v>6090</v>
      </c>
      <c r="F278">
        <v>124089</v>
      </c>
      <c r="G278">
        <v>-12</v>
      </c>
      <c r="H278">
        <v>-40</v>
      </c>
      <c r="I278">
        <v>0</v>
      </c>
      <c r="J278">
        <v>0</v>
      </c>
      <c r="K278">
        <v>0</v>
      </c>
      <c r="L278">
        <v>-773</v>
      </c>
      <c r="M278">
        <v>0</v>
      </c>
      <c r="N278">
        <v>0</v>
      </c>
      <c r="O278">
        <v>0</v>
      </c>
      <c r="U278">
        <v>0</v>
      </c>
      <c r="V278">
        <v>0.3</v>
      </c>
      <c r="W278" s="103">
        <v>0</v>
      </c>
      <c r="X278">
        <v>6309.125</v>
      </c>
      <c r="Y278">
        <v>6597.8</v>
      </c>
      <c r="Z278" s="103">
        <v>0</v>
      </c>
    </row>
    <row r="279" spans="1:26">
      <c r="A279">
        <v>20090619</v>
      </c>
      <c r="B279">
        <v>6090</v>
      </c>
      <c r="C279">
        <v>6150</v>
      </c>
      <c r="D279">
        <v>6045</v>
      </c>
      <c r="E279">
        <v>6138</v>
      </c>
      <c r="F279">
        <v>91410</v>
      </c>
      <c r="G279">
        <v>0</v>
      </c>
      <c r="H279">
        <v>48</v>
      </c>
      <c r="I279">
        <v>0</v>
      </c>
      <c r="J279">
        <v>0</v>
      </c>
      <c r="K279">
        <v>0</v>
      </c>
      <c r="L279">
        <v>-773</v>
      </c>
      <c r="M279">
        <v>0</v>
      </c>
      <c r="N279">
        <v>0</v>
      </c>
      <c r="O279">
        <v>0</v>
      </c>
      <c r="U279">
        <v>1</v>
      </c>
      <c r="V279">
        <v>0.3</v>
      </c>
      <c r="W279" s="103">
        <v>0</v>
      </c>
      <c r="X279">
        <v>6274.75</v>
      </c>
      <c r="Y279">
        <v>6571.15</v>
      </c>
      <c r="Z279" s="103">
        <v>0</v>
      </c>
    </row>
    <row r="280" spans="1:26">
      <c r="A280">
        <v>20090622</v>
      </c>
      <c r="B280">
        <v>6137</v>
      </c>
      <c r="C280">
        <v>6264</v>
      </c>
      <c r="D280">
        <v>6075</v>
      </c>
      <c r="E280">
        <v>6206</v>
      </c>
      <c r="F280">
        <v>96798</v>
      </c>
      <c r="G280">
        <v>-1</v>
      </c>
      <c r="H280">
        <v>69</v>
      </c>
      <c r="I280">
        <v>0</v>
      </c>
      <c r="J280">
        <v>0</v>
      </c>
      <c r="K280">
        <v>0</v>
      </c>
      <c r="L280">
        <v>-773</v>
      </c>
      <c r="M280">
        <v>0</v>
      </c>
      <c r="N280">
        <v>0</v>
      </c>
      <c r="O280">
        <v>0</v>
      </c>
      <c r="U280">
        <v>1</v>
      </c>
      <c r="V280">
        <v>0.4</v>
      </c>
      <c r="W280" s="103">
        <v>0</v>
      </c>
      <c r="X280">
        <v>6243.125</v>
      </c>
      <c r="Y280">
        <v>6546.85</v>
      </c>
      <c r="Z280" s="103">
        <v>0</v>
      </c>
    </row>
    <row r="281" spans="1:26">
      <c r="A281">
        <v>20090623</v>
      </c>
      <c r="B281">
        <v>6088</v>
      </c>
      <c r="C281">
        <v>6150</v>
      </c>
      <c r="D281">
        <v>6059</v>
      </c>
      <c r="E281">
        <v>6072</v>
      </c>
      <c r="F281">
        <v>83086</v>
      </c>
      <c r="G281">
        <v>-118</v>
      </c>
      <c r="H281">
        <v>-16</v>
      </c>
      <c r="I281">
        <v>0</v>
      </c>
      <c r="J281">
        <v>0</v>
      </c>
      <c r="K281">
        <v>0</v>
      </c>
      <c r="L281">
        <v>-773</v>
      </c>
      <c r="M281">
        <v>0</v>
      </c>
      <c r="N281">
        <v>0</v>
      </c>
      <c r="O281">
        <v>0</v>
      </c>
      <c r="U281">
        <v>0</v>
      </c>
      <c r="V281">
        <v>0.4</v>
      </c>
      <c r="W281" s="103">
        <v>0</v>
      </c>
      <c r="X281">
        <v>6187.625</v>
      </c>
      <c r="Y281">
        <v>6514.25</v>
      </c>
      <c r="Z281" s="103">
        <v>0</v>
      </c>
    </row>
    <row r="282" spans="1:26">
      <c r="A282">
        <v>20090624</v>
      </c>
      <c r="B282">
        <v>6089</v>
      </c>
      <c r="C282">
        <v>6494</v>
      </c>
      <c r="D282">
        <v>6073</v>
      </c>
      <c r="E282">
        <v>6311</v>
      </c>
      <c r="F282">
        <v>143028</v>
      </c>
      <c r="G282">
        <v>17</v>
      </c>
      <c r="H282">
        <v>222</v>
      </c>
      <c r="I282">
        <v>0</v>
      </c>
      <c r="J282">
        <v>0</v>
      </c>
      <c r="K282">
        <v>0</v>
      </c>
      <c r="L282">
        <v>-773</v>
      </c>
      <c r="M282">
        <v>0</v>
      </c>
      <c r="N282">
        <v>0</v>
      </c>
      <c r="O282">
        <v>0</v>
      </c>
      <c r="U282">
        <v>1</v>
      </c>
      <c r="V282">
        <v>0.4</v>
      </c>
      <c r="W282" s="103">
        <v>0</v>
      </c>
      <c r="X282">
        <v>6171.875</v>
      </c>
      <c r="Y282">
        <v>6497.5</v>
      </c>
      <c r="Z282" s="103">
        <v>0</v>
      </c>
    </row>
    <row r="283" spans="1:26">
      <c r="A283">
        <v>20090625</v>
      </c>
      <c r="B283">
        <v>6306</v>
      </c>
      <c r="C283">
        <v>6427</v>
      </c>
      <c r="D283">
        <v>6295</v>
      </c>
      <c r="E283">
        <v>6389</v>
      </c>
      <c r="F283">
        <v>101697</v>
      </c>
      <c r="G283">
        <v>-5</v>
      </c>
      <c r="H283">
        <v>83</v>
      </c>
      <c r="I283">
        <v>0</v>
      </c>
      <c r="J283">
        <v>0</v>
      </c>
      <c r="K283">
        <v>0</v>
      </c>
      <c r="L283">
        <v>-773</v>
      </c>
      <c r="M283">
        <v>0</v>
      </c>
      <c r="N283">
        <v>0</v>
      </c>
      <c r="O283">
        <v>0</v>
      </c>
      <c r="U283">
        <v>1</v>
      </c>
      <c r="V283">
        <v>0.4</v>
      </c>
      <c r="W283" s="103">
        <v>0</v>
      </c>
      <c r="X283">
        <v>6194.5</v>
      </c>
      <c r="Y283">
        <v>6470.35</v>
      </c>
      <c r="Z283" s="103">
        <v>0</v>
      </c>
    </row>
    <row r="284" spans="1:26">
      <c r="A284">
        <v>20090626</v>
      </c>
      <c r="B284">
        <v>6405</v>
      </c>
      <c r="C284">
        <v>6432</v>
      </c>
      <c r="D284">
        <v>6361</v>
      </c>
      <c r="E284">
        <v>6391</v>
      </c>
      <c r="F284">
        <v>76133</v>
      </c>
      <c r="G284">
        <v>16</v>
      </c>
      <c r="H284">
        <v>-14</v>
      </c>
      <c r="I284">
        <v>0</v>
      </c>
      <c r="J284">
        <v>0</v>
      </c>
      <c r="K284">
        <v>0</v>
      </c>
      <c r="L284">
        <v>-773</v>
      </c>
      <c r="M284">
        <v>0</v>
      </c>
      <c r="N284">
        <v>0</v>
      </c>
      <c r="O284">
        <v>0</v>
      </c>
      <c r="U284">
        <v>1</v>
      </c>
      <c r="V284">
        <v>0.5</v>
      </c>
      <c r="W284" s="103">
        <v>0</v>
      </c>
      <c r="X284">
        <v>6217.375</v>
      </c>
      <c r="Y284">
        <v>6442.2</v>
      </c>
      <c r="Z284" s="103">
        <v>0</v>
      </c>
    </row>
    <row r="285" spans="1:26">
      <c r="A285">
        <v>20090629</v>
      </c>
      <c r="B285">
        <v>6415</v>
      </c>
      <c r="C285">
        <v>6436</v>
      </c>
      <c r="D285">
        <v>6305</v>
      </c>
      <c r="E285">
        <v>6345</v>
      </c>
      <c r="F285">
        <v>92593</v>
      </c>
      <c r="G285">
        <v>24</v>
      </c>
      <c r="H285">
        <v>-70</v>
      </c>
      <c r="I285">
        <v>0</v>
      </c>
      <c r="J285">
        <v>0</v>
      </c>
      <c r="K285">
        <v>0</v>
      </c>
      <c r="L285">
        <v>-773</v>
      </c>
      <c r="M285">
        <v>0</v>
      </c>
      <c r="N285">
        <v>0</v>
      </c>
      <c r="O285">
        <v>0</v>
      </c>
      <c r="U285">
        <v>0</v>
      </c>
      <c r="V285">
        <v>0.5</v>
      </c>
      <c r="W285" s="103">
        <v>0</v>
      </c>
      <c r="X285">
        <v>6242.75</v>
      </c>
      <c r="Y285">
        <v>6413.65</v>
      </c>
      <c r="Z285" s="103">
        <v>0</v>
      </c>
    </row>
    <row r="286" spans="1:26">
      <c r="A286">
        <v>20090630</v>
      </c>
      <c r="B286">
        <v>6421</v>
      </c>
      <c r="C286">
        <v>6450</v>
      </c>
      <c r="D286">
        <v>6301</v>
      </c>
      <c r="E286">
        <v>6383</v>
      </c>
      <c r="F286">
        <v>97549</v>
      </c>
      <c r="G286">
        <v>76</v>
      </c>
      <c r="H286">
        <v>-38</v>
      </c>
      <c r="I286">
        <v>-1</v>
      </c>
      <c r="J286">
        <v>0</v>
      </c>
      <c r="K286">
        <v>0</v>
      </c>
      <c r="L286">
        <v>-773</v>
      </c>
      <c r="M286">
        <v>0</v>
      </c>
      <c r="N286">
        <v>0</v>
      </c>
      <c r="O286">
        <v>0</v>
      </c>
      <c r="U286">
        <v>1</v>
      </c>
      <c r="V286">
        <v>0.6</v>
      </c>
      <c r="W286" s="103">
        <v>-1</v>
      </c>
      <c r="X286">
        <v>6279.375</v>
      </c>
      <c r="Y286">
        <v>6387.9</v>
      </c>
      <c r="Z286" s="103">
        <v>0</v>
      </c>
    </row>
    <row r="287" spans="1:26">
      <c r="A287">
        <v>20090701</v>
      </c>
      <c r="B287">
        <v>6414</v>
      </c>
      <c r="C287">
        <v>6546</v>
      </c>
      <c r="D287">
        <v>6361</v>
      </c>
      <c r="E287">
        <v>6517</v>
      </c>
      <c r="F287">
        <v>108188</v>
      </c>
      <c r="G287">
        <v>31</v>
      </c>
      <c r="H287">
        <v>103</v>
      </c>
      <c r="I287">
        <v>-1</v>
      </c>
      <c r="J287">
        <v>-1</v>
      </c>
      <c r="K287">
        <v>-103</v>
      </c>
      <c r="L287">
        <v>-876</v>
      </c>
      <c r="M287">
        <v>0</v>
      </c>
      <c r="N287">
        <v>6478.14</v>
      </c>
      <c r="O287">
        <v>6221.58</v>
      </c>
      <c r="U287">
        <v>1</v>
      </c>
      <c r="V287">
        <v>0.7</v>
      </c>
      <c r="W287" s="103">
        <v>-1</v>
      </c>
      <c r="X287">
        <v>6326.75</v>
      </c>
      <c r="Y287">
        <v>6374.55</v>
      </c>
      <c r="Z287" s="103">
        <v>0</v>
      </c>
    </row>
    <row r="288" spans="1:26">
      <c r="A288">
        <v>20090702</v>
      </c>
      <c r="B288">
        <v>6525</v>
      </c>
      <c r="C288">
        <v>6626</v>
      </c>
      <c r="D288">
        <v>6517</v>
      </c>
      <c r="E288">
        <v>6590</v>
      </c>
      <c r="F288">
        <v>96176</v>
      </c>
      <c r="G288">
        <v>8</v>
      </c>
      <c r="H288">
        <v>65</v>
      </c>
      <c r="I288">
        <v>1</v>
      </c>
      <c r="J288">
        <v>-1</v>
      </c>
      <c r="K288">
        <v>-73</v>
      </c>
      <c r="L288">
        <v>-949</v>
      </c>
      <c r="M288">
        <v>3</v>
      </c>
      <c r="N288">
        <v>0</v>
      </c>
      <c r="O288">
        <v>0</v>
      </c>
      <c r="U288">
        <v>1</v>
      </c>
      <c r="V288">
        <v>0.8</v>
      </c>
      <c r="W288" s="103">
        <v>-1</v>
      </c>
      <c r="X288">
        <v>6374.75</v>
      </c>
      <c r="Y288">
        <v>6364.55</v>
      </c>
      <c r="Z288" s="103">
        <v>1</v>
      </c>
    </row>
    <row r="289" spans="1:26">
      <c r="A289">
        <v>20090703</v>
      </c>
      <c r="B289">
        <v>6547</v>
      </c>
      <c r="C289">
        <v>6633</v>
      </c>
      <c r="D289">
        <v>6520</v>
      </c>
      <c r="E289">
        <v>6602</v>
      </c>
      <c r="F289">
        <v>91558</v>
      </c>
      <c r="G289">
        <v>-43</v>
      </c>
      <c r="H289">
        <v>55</v>
      </c>
      <c r="I289">
        <v>-1</v>
      </c>
      <c r="J289">
        <v>0</v>
      </c>
      <c r="K289">
        <v>43</v>
      </c>
      <c r="L289">
        <v>-906</v>
      </c>
      <c r="M289">
        <v>0</v>
      </c>
      <c r="N289">
        <v>0</v>
      </c>
      <c r="O289">
        <v>0</v>
      </c>
      <c r="U289">
        <v>1</v>
      </c>
      <c r="V289">
        <v>0.8</v>
      </c>
      <c r="W289" s="103">
        <v>-1</v>
      </c>
      <c r="X289">
        <v>6441</v>
      </c>
      <c r="Y289">
        <v>6353</v>
      </c>
      <c r="Z289" s="103">
        <v>0</v>
      </c>
    </row>
    <row r="290" spans="1:26">
      <c r="A290">
        <v>20090706</v>
      </c>
      <c r="B290">
        <v>6619</v>
      </c>
      <c r="C290">
        <v>6631</v>
      </c>
      <c r="D290">
        <v>6527</v>
      </c>
      <c r="E290">
        <v>6588</v>
      </c>
      <c r="F290">
        <v>90726</v>
      </c>
      <c r="G290">
        <v>17</v>
      </c>
      <c r="H290">
        <v>-31</v>
      </c>
      <c r="I290">
        <v>-1</v>
      </c>
      <c r="J290">
        <v>-1</v>
      </c>
      <c r="K290">
        <v>31</v>
      </c>
      <c r="L290">
        <v>-875</v>
      </c>
      <c r="M290">
        <v>0</v>
      </c>
      <c r="N290">
        <v>6685.1900000000005</v>
      </c>
      <c r="O290">
        <v>6420.4299999999994</v>
      </c>
      <c r="U290">
        <v>0</v>
      </c>
      <c r="V290">
        <v>0.7</v>
      </c>
      <c r="W290" s="103">
        <v>-1</v>
      </c>
      <c r="X290">
        <v>6475.625</v>
      </c>
      <c r="Y290">
        <v>6350.25</v>
      </c>
      <c r="Z290" s="103">
        <v>0</v>
      </c>
    </row>
    <row r="291" spans="1:26">
      <c r="A291">
        <v>20090707</v>
      </c>
      <c r="B291">
        <v>6588</v>
      </c>
      <c r="C291">
        <v>6710</v>
      </c>
      <c r="D291">
        <v>6578</v>
      </c>
      <c r="E291">
        <v>6665</v>
      </c>
      <c r="F291">
        <v>97559</v>
      </c>
      <c r="G291">
        <v>0</v>
      </c>
      <c r="H291">
        <v>77</v>
      </c>
      <c r="I291">
        <v>-1</v>
      </c>
      <c r="J291">
        <v>-1</v>
      </c>
      <c r="K291">
        <v>-77</v>
      </c>
      <c r="L291">
        <v>-952</v>
      </c>
      <c r="M291">
        <v>0</v>
      </c>
      <c r="N291">
        <v>0</v>
      </c>
      <c r="O291">
        <v>0</v>
      </c>
      <c r="U291">
        <v>1</v>
      </c>
      <c r="V291">
        <v>0.8</v>
      </c>
      <c r="W291" s="103">
        <v>-1</v>
      </c>
      <c r="X291">
        <v>6510.125</v>
      </c>
      <c r="Y291">
        <v>6362.85</v>
      </c>
      <c r="Z291" s="103">
        <v>0</v>
      </c>
    </row>
    <row r="292" spans="1:26">
      <c r="A292">
        <v>20090708</v>
      </c>
      <c r="B292">
        <v>6621</v>
      </c>
      <c r="C292">
        <v>6637</v>
      </c>
      <c r="D292">
        <v>6558</v>
      </c>
      <c r="E292">
        <v>6627</v>
      </c>
      <c r="F292">
        <v>92427</v>
      </c>
      <c r="G292">
        <v>-44</v>
      </c>
      <c r="H292">
        <v>6</v>
      </c>
      <c r="I292">
        <v>-1</v>
      </c>
      <c r="J292">
        <v>-1</v>
      </c>
      <c r="K292">
        <v>38</v>
      </c>
      <c r="L292">
        <v>-914</v>
      </c>
      <c r="M292">
        <v>0</v>
      </c>
      <c r="N292">
        <v>0</v>
      </c>
      <c r="O292">
        <v>0</v>
      </c>
      <c r="U292">
        <v>0</v>
      </c>
      <c r="V292">
        <v>0.7</v>
      </c>
      <c r="W292" s="103">
        <v>-1</v>
      </c>
      <c r="X292">
        <v>6539.625</v>
      </c>
      <c r="Y292">
        <v>6371.25</v>
      </c>
      <c r="Z292" s="103">
        <v>0</v>
      </c>
    </row>
    <row r="293" spans="1:26">
      <c r="A293">
        <v>20090709</v>
      </c>
      <c r="B293">
        <v>6627</v>
      </c>
      <c r="C293">
        <v>6778</v>
      </c>
      <c r="D293">
        <v>6625</v>
      </c>
      <c r="E293">
        <v>6724</v>
      </c>
      <c r="F293">
        <v>101366</v>
      </c>
      <c r="G293">
        <v>0</v>
      </c>
      <c r="H293">
        <v>97</v>
      </c>
      <c r="I293">
        <v>-1</v>
      </c>
      <c r="J293">
        <v>-1</v>
      </c>
      <c r="K293">
        <v>-97</v>
      </c>
      <c r="L293">
        <v>-1011</v>
      </c>
      <c r="M293">
        <v>0</v>
      </c>
      <c r="N293">
        <v>0</v>
      </c>
      <c r="O293">
        <v>0</v>
      </c>
      <c r="U293">
        <v>1</v>
      </c>
      <c r="V293">
        <v>0.7</v>
      </c>
      <c r="W293" s="103">
        <v>-1</v>
      </c>
      <c r="X293">
        <v>6587</v>
      </c>
      <c r="Y293">
        <v>6381.65</v>
      </c>
      <c r="Z293" s="103">
        <v>0</v>
      </c>
    </row>
    <row r="294" spans="1:26">
      <c r="A294">
        <v>20090710</v>
      </c>
      <c r="B294">
        <v>6735</v>
      </c>
      <c r="C294">
        <v>6755</v>
      </c>
      <c r="D294">
        <v>6676</v>
      </c>
      <c r="E294">
        <v>6755</v>
      </c>
      <c r="F294">
        <v>73581</v>
      </c>
      <c r="G294">
        <v>11</v>
      </c>
      <c r="H294">
        <v>20</v>
      </c>
      <c r="I294">
        <v>1</v>
      </c>
      <c r="J294">
        <v>-1</v>
      </c>
      <c r="K294">
        <v>-31</v>
      </c>
      <c r="L294">
        <v>-1042</v>
      </c>
      <c r="M294">
        <v>3</v>
      </c>
      <c r="N294">
        <v>0</v>
      </c>
      <c r="O294">
        <v>0</v>
      </c>
      <c r="U294">
        <v>1</v>
      </c>
      <c r="V294">
        <v>0.7</v>
      </c>
      <c r="W294" s="103">
        <v>-1</v>
      </c>
      <c r="X294">
        <v>6633.5</v>
      </c>
      <c r="Y294">
        <v>6397.55</v>
      </c>
      <c r="Z294" s="103">
        <v>0</v>
      </c>
    </row>
    <row r="295" spans="1:26">
      <c r="A295">
        <v>20090713</v>
      </c>
      <c r="B295">
        <v>6739</v>
      </c>
      <c r="C295">
        <v>6765</v>
      </c>
      <c r="D295">
        <v>6443</v>
      </c>
      <c r="E295">
        <v>6469</v>
      </c>
      <c r="F295">
        <v>118983</v>
      </c>
      <c r="G295">
        <v>-16</v>
      </c>
      <c r="H295">
        <v>-270</v>
      </c>
      <c r="I295">
        <v>-1</v>
      </c>
      <c r="J295">
        <v>0</v>
      </c>
      <c r="K295">
        <v>16</v>
      </c>
      <c r="L295">
        <v>-1026</v>
      </c>
      <c r="M295">
        <v>0</v>
      </c>
      <c r="N295">
        <v>0</v>
      </c>
      <c r="O295">
        <v>0</v>
      </c>
      <c r="U295">
        <v>0</v>
      </c>
      <c r="V295">
        <v>0.7</v>
      </c>
      <c r="W295" s="103">
        <v>-1</v>
      </c>
      <c r="X295">
        <v>6627.5</v>
      </c>
      <c r="Y295">
        <v>6410.6</v>
      </c>
      <c r="Z295" s="103">
        <v>0</v>
      </c>
    </row>
    <row r="296" spans="1:26">
      <c r="A296">
        <v>20090714</v>
      </c>
      <c r="B296">
        <v>6540</v>
      </c>
      <c r="C296">
        <v>6609</v>
      </c>
      <c r="D296">
        <v>6507</v>
      </c>
      <c r="E296">
        <v>6580</v>
      </c>
      <c r="F296">
        <v>74525</v>
      </c>
      <c r="G296">
        <v>71</v>
      </c>
      <c r="H296">
        <v>40</v>
      </c>
      <c r="I296">
        <v>-1</v>
      </c>
      <c r="J296">
        <v>-1</v>
      </c>
      <c r="K296">
        <v>-40</v>
      </c>
      <c r="L296">
        <v>-1066</v>
      </c>
      <c r="M296">
        <v>0</v>
      </c>
      <c r="N296">
        <v>6605.4</v>
      </c>
      <c r="O296">
        <v>6343.8</v>
      </c>
      <c r="U296">
        <v>1</v>
      </c>
      <c r="V296">
        <v>0.7</v>
      </c>
      <c r="W296" s="103">
        <v>-1</v>
      </c>
      <c r="X296">
        <v>6626.25</v>
      </c>
      <c r="Y296">
        <v>6429.2</v>
      </c>
      <c r="Z296" s="103">
        <v>0</v>
      </c>
    </row>
    <row r="297" spans="1:26">
      <c r="A297">
        <v>20090715</v>
      </c>
      <c r="B297">
        <v>6630</v>
      </c>
      <c r="C297">
        <v>6782</v>
      </c>
      <c r="D297">
        <v>6625</v>
      </c>
      <c r="E297">
        <v>6763</v>
      </c>
      <c r="F297">
        <v>65479</v>
      </c>
      <c r="G297">
        <v>50</v>
      </c>
      <c r="H297">
        <v>133</v>
      </c>
      <c r="I297">
        <v>1</v>
      </c>
      <c r="J297">
        <v>-1</v>
      </c>
      <c r="K297">
        <v>-183</v>
      </c>
      <c r="L297">
        <v>-1249</v>
      </c>
      <c r="M297">
        <v>3</v>
      </c>
      <c r="N297">
        <v>0</v>
      </c>
      <c r="O297">
        <v>0</v>
      </c>
      <c r="U297">
        <v>1</v>
      </c>
      <c r="V297">
        <v>0.7</v>
      </c>
      <c r="W297" s="103">
        <v>-1</v>
      </c>
      <c r="X297">
        <v>6646.375</v>
      </c>
      <c r="Y297">
        <v>6460.25</v>
      </c>
      <c r="Z297" s="103">
        <v>0</v>
      </c>
    </row>
    <row r="298" spans="1:26">
      <c r="A298">
        <v>20090716</v>
      </c>
      <c r="B298">
        <v>6748</v>
      </c>
      <c r="C298">
        <v>6785</v>
      </c>
      <c r="D298">
        <v>6661</v>
      </c>
      <c r="E298">
        <v>6709</v>
      </c>
      <c r="F298">
        <v>90123</v>
      </c>
      <c r="G298">
        <v>-15</v>
      </c>
      <c r="H298">
        <v>-39</v>
      </c>
      <c r="I298">
        <v>-1</v>
      </c>
      <c r="J298">
        <v>0</v>
      </c>
      <c r="K298">
        <v>15</v>
      </c>
      <c r="L298">
        <v>-1234</v>
      </c>
      <c r="M298">
        <v>0</v>
      </c>
      <c r="N298">
        <v>0</v>
      </c>
      <c r="O298">
        <v>0</v>
      </c>
      <c r="U298">
        <v>0</v>
      </c>
      <c r="V298">
        <v>0.6</v>
      </c>
      <c r="W298" s="103">
        <v>-1</v>
      </c>
      <c r="X298">
        <v>6661.5</v>
      </c>
      <c r="Y298">
        <v>6491.2</v>
      </c>
      <c r="Z298" s="103">
        <v>0</v>
      </c>
    </row>
    <row r="299" spans="1:26">
      <c r="A299">
        <v>20090717</v>
      </c>
      <c r="B299">
        <v>6736</v>
      </c>
      <c r="C299">
        <v>6802</v>
      </c>
      <c r="D299">
        <v>6700</v>
      </c>
      <c r="E299">
        <v>6756</v>
      </c>
      <c r="F299">
        <v>79822</v>
      </c>
      <c r="G299">
        <v>27</v>
      </c>
      <c r="H299">
        <v>20</v>
      </c>
      <c r="I299">
        <v>-1</v>
      </c>
      <c r="J299">
        <v>-1</v>
      </c>
      <c r="K299">
        <v>-20</v>
      </c>
      <c r="L299">
        <v>-1254</v>
      </c>
      <c r="M299">
        <v>0</v>
      </c>
      <c r="N299">
        <v>6803.36</v>
      </c>
      <c r="O299">
        <v>6533.92</v>
      </c>
      <c r="U299">
        <v>1</v>
      </c>
      <c r="V299">
        <v>0.6</v>
      </c>
      <c r="W299" s="103">
        <v>-1</v>
      </c>
      <c r="X299">
        <v>6672.875</v>
      </c>
      <c r="Y299">
        <v>6522.1</v>
      </c>
      <c r="Z299" s="103">
        <v>0</v>
      </c>
    </row>
    <row r="300" spans="1:26">
      <c r="A300">
        <v>20090720</v>
      </c>
      <c r="B300">
        <v>6839</v>
      </c>
      <c r="C300">
        <v>6884</v>
      </c>
      <c r="D300">
        <v>6758</v>
      </c>
      <c r="E300">
        <v>6859</v>
      </c>
      <c r="F300">
        <v>86215</v>
      </c>
      <c r="G300">
        <v>83</v>
      </c>
      <c r="H300">
        <v>20</v>
      </c>
      <c r="I300">
        <v>1</v>
      </c>
      <c r="J300">
        <v>-1</v>
      </c>
      <c r="K300">
        <v>-103</v>
      </c>
      <c r="L300">
        <v>-1357</v>
      </c>
      <c r="M300">
        <v>3</v>
      </c>
      <c r="N300">
        <v>0</v>
      </c>
      <c r="O300">
        <v>0</v>
      </c>
      <c r="U300">
        <v>1</v>
      </c>
      <c r="V300">
        <v>0.7</v>
      </c>
      <c r="W300" s="103">
        <v>-1</v>
      </c>
      <c r="X300">
        <v>6701.875</v>
      </c>
      <c r="Y300">
        <v>6554.75</v>
      </c>
      <c r="Z300" s="103">
        <v>0</v>
      </c>
    </row>
    <row r="301" spans="1:26">
      <c r="A301">
        <v>20090721</v>
      </c>
      <c r="B301">
        <v>6900</v>
      </c>
      <c r="C301">
        <v>6912</v>
      </c>
      <c r="D301">
        <v>6795</v>
      </c>
      <c r="E301">
        <v>6874</v>
      </c>
      <c r="F301">
        <v>91335</v>
      </c>
      <c r="G301">
        <v>41</v>
      </c>
      <c r="H301">
        <v>-26</v>
      </c>
      <c r="I301">
        <v>-1</v>
      </c>
      <c r="J301">
        <v>0</v>
      </c>
      <c r="K301">
        <v>-41</v>
      </c>
      <c r="L301">
        <v>-1398</v>
      </c>
      <c r="M301">
        <v>0</v>
      </c>
      <c r="N301">
        <v>0</v>
      </c>
      <c r="O301">
        <v>0</v>
      </c>
      <c r="U301">
        <v>1</v>
      </c>
      <c r="V301">
        <v>0.7</v>
      </c>
      <c r="W301" s="103">
        <v>-1</v>
      </c>
      <c r="X301">
        <v>6720.625</v>
      </c>
      <c r="Y301">
        <v>6594.85</v>
      </c>
      <c r="Z301" s="103">
        <v>0</v>
      </c>
    </row>
    <row r="302" spans="1:26">
      <c r="A302">
        <v>20090722</v>
      </c>
      <c r="B302">
        <v>6870</v>
      </c>
      <c r="C302">
        <v>6959</v>
      </c>
      <c r="D302">
        <v>6847</v>
      </c>
      <c r="E302">
        <v>6885</v>
      </c>
      <c r="F302">
        <v>93603</v>
      </c>
      <c r="G302">
        <v>-4</v>
      </c>
      <c r="H302">
        <v>15</v>
      </c>
      <c r="I302">
        <v>-1</v>
      </c>
      <c r="J302">
        <v>-1</v>
      </c>
      <c r="K302">
        <v>-15</v>
      </c>
      <c r="L302">
        <v>-1413</v>
      </c>
      <c r="M302">
        <v>0</v>
      </c>
      <c r="N302">
        <v>6938.7</v>
      </c>
      <c r="O302">
        <v>6663.9</v>
      </c>
      <c r="U302">
        <v>1</v>
      </c>
      <c r="V302">
        <v>0.8</v>
      </c>
      <c r="W302" s="103">
        <v>-1</v>
      </c>
      <c r="X302">
        <v>6736.875</v>
      </c>
      <c r="Y302">
        <v>6623.55</v>
      </c>
      <c r="Z302" s="103">
        <v>0</v>
      </c>
    </row>
  </sheetData>
  <mergeCells count="2">
    <mergeCell ref="A1:F1"/>
    <mergeCell ref="K1:L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02"/>
  <sheetViews>
    <sheetView zoomScale="80" zoomScaleNormal="80" workbookViewId="0">
      <selection activeCell="J46" sqref="J46"/>
    </sheetView>
  </sheetViews>
  <sheetFormatPr defaultRowHeight="16.5"/>
  <cols>
    <col min="9" max="10" width="14" customWidth="1"/>
    <col min="11" max="11" width="10.5" bestFit="1" customWidth="1"/>
    <col min="12" max="12" width="9.75" customWidth="1"/>
    <col min="19" max="19" width="10.75" customWidth="1"/>
    <col min="20" max="20" width="9.625" bestFit="1" customWidth="1"/>
  </cols>
  <sheetData>
    <row r="1" spans="1:26" ht="17.25" thickBot="1">
      <c r="A1" s="104" t="s">
        <v>19</v>
      </c>
      <c r="B1" s="105"/>
      <c r="C1" s="105"/>
      <c r="D1" s="105"/>
      <c r="E1" s="105"/>
      <c r="F1" s="106"/>
      <c r="G1" s="85"/>
      <c r="H1" s="36"/>
      <c r="I1" s="22" t="s">
        <v>15</v>
      </c>
      <c r="J1" s="87" t="s">
        <v>23</v>
      </c>
      <c r="K1" s="107" t="s">
        <v>26</v>
      </c>
      <c r="L1" s="108"/>
      <c r="M1" s="114" t="s">
        <v>11</v>
      </c>
      <c r="N1" s="115"/>
      <c r="O1" s="116"/>
      <c r="P1" s="104" t="s">
        <v>16</v>
      </c>
      <c r="Q1" s="105"/>
      <c r="R1" s="106"/>
      <c r="T1" s="2"/>
    </row>
    <row r="2" spans="1:26" ht="17.25" thickBot="1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5" t="s">
        <v>38</v>
      </c>
      <c r="H2" s="55" t="s">
        <v>39</v>
      </c>
      <c r="I2" s="12"/>
      <c r="J2" s="91"/>
      <c r="K2" s="13" t="s">
        <v>22</v>
      </c>
      <c r="L2" s="14" t="s">
        <v>25</v>
      </c>
      <c r="M2" s="12" t="s">
        <v>0</v>
      </c>
      <c r="N2" s="15" t="s">
        <v>14</v>
      </c>
      <c r="O2" s="14" t="s">
        <v>1</v>
      </c>
      <c r="P2" s="91" t="s">
        <v>17</v>
      </c>
      <c r="Q2" s="23" t="s">
        <v>18</v>
      </c>
      <c r="R2" s="92" t="s">
        <v>13</v>
      </c>
      <c r="T2" s="2"/>
      <c r="U2" s="11"/>
      <c r="V2" s="11"/>
      <c r="W2" s="11"/>
      <c r="X2" s="2"/>
      <c r="Y2" s="2"/>
      <c r="Z2" s="11"/>
    </row>
    <row r="3" spans="1:26" ht="17.25" thickBot="1">
      <c r="A3" s="43">
        <v>20080513</v>
      </c>
      <c r="B3" s="44">
        <v>8862</v>
      </c>
      <c r="C3" s="44">
        <v>9044</v>
      </c>
      <c r="D3" s="44">
        <v>8851</v>
      </c>
      <c r="E3" s="44">
        <v>9030</v>
      </c>
      <c r="F3" s="45">
        <v>62502</v>
      </c>
      <c r="G3" s="59" t="s">
        <v>40</v>
      </c>
      <c r="H3" s="59">
        <f>E3-B3</f>
        <v>168</v>
      </c>
      <c r="I3" s="30"/>
      <c r="J3" s="8"/>
      <c r="K3" s="2"/>
      <c r="L3" s="9"/>
      <c r="M3" s="95"/>
      <c r="N3" s="8"/>
      <c r="O3" s="9"/>
      <c r="P3" s="8"/>
      <c r="Q3" s="2"/>
      <c r="R3" s="9"/>
      <c r="T3" s="2"/>
      <c r="U3" s="11"/>
      <c r="V3" s="11"/>
      <c r="W3" s="11"/>
      <c r="X3" s="2"/>
      <c r="Y3" s="2"/>
      <c r="Z3" s="11"/>
    </row>
    <row r="4" spans="1:26" ht="17.25" thickBot="1">
      <c r="A4" s="46">
        <v>20080514</v>
      </c>
      <c r="B4" s="47">
        <v>9030</v>
      </c>
      <c r="C4" s="47">
        <v>9088</v>
      </c>
      <c r="D4" s="47">
        <v>9002</v>
      </c>
      <c r="E4" s="47">
        <v>9058</v>
      </c>
      <c r="F4" s="48">
        <v>53185</v>
      </c>
      <c r="G4" s="57">
        <f>B4-E3</f>
        <v>0</v>
      </c>
      <c r="H4" s="57">
        <f t="shared" ref="H4:H67" si="0">E4-B4</f>
        <v>28</v>
      </c>
      <c r="I4" s="32"/>
      <c r="J4" s="98" t="s">
        <v>29</v>
      </c>
      <c r="K4" s="119" t="s">
        <v>30</v>
      </c>
      <c r="L4" s="120"/>
      <c r="M4" s="96">
        <f>IF(E4&gt;E3,1,0)</f>
        <v>1</v>
      </c>
      <c r="N4" s="117" t="s">
        <v>36</v>
      </c>
      <c r="O4" s="118"/>
      <c r="P4" s="117" t="s">
        <v>37</v>
      </c>
      <c r="Q4" s="118"/>
      <c r="R4" s="93"/>
    </row>
    <row r="5" spans="1:26" ht="17.25" thickBot="1">
      <c r="A5" s="46">
        <v>20080515</v>
      </c>
      <c r="B5" s="47">
        <v>9088</v>
      </c>
      <c r="C5" s="47">
        <v>9209</v>
      </c>
      <c r="D5" s="47">
        <v>9088</v>
      </c>
      <c r="E5" s="47">
        <v>9182</v>
      </c>
      <c r="F5" s="48">
        <v>53467</v>
      </c>
      <c r="G5" s="57">
        <f t="shared" ref="G5:G68" si="1">B5-E4</f>
        <v>30</v>
      </c>
      <c r="H5" s="57">
        <f t="shared" si="0"/>
        <v>94</v>
      </c>
      <c r="I5" s="31"/>
      <c r="J5" s="87">
        <v>1</v>
      </c>
      <c r="K5" s="82" t="s">
        <v>27</v>
      </c>
      <c r="L5" s="84">
        <f ca="1">L302</f>
        <v>-653</v>
      </c>
      <c r="M5" s="96">
        <f t="shared" ref="M5:M68" si="2">IF(E5&gt;E4,1,0)</f>
        <v>1</v>
      </c>
      <c r="N5" s="16" t="s">
        <v>2</v>
      </c>
      <c r="O5" s="17">
        <v>10</v>
      </c>
      <c r="P5" s="16" t="s">
        <v>20</v>
      </c>
      <c r="Q5" s="25">
        <v>8</v>
      </c>
      <c r="R5" s="9"/>
    </row>
    <row r="6" spans="1:26" ht="17.25" thickBot="1">
      <c r="A6" s="46">
        <v>20080516</v>
      </c>
      <c r="B6" s="47">
        <v>9220</v>
      </c>
      <c r="C6" s="47">
        <v>9286</v>
      </c>
      <c r="D6" s="47">
        <v>9191</v>
      </c>
      <c r="E6" s="47">
        <v>9248</v>
      </c>
      <c r="F6" s="48">
        <v>54949</v>
      </c>
      <c r="G6" s="57">
        <f t="shared" si="1"/>
        <v>38</v>
      </c>
      <c r="H6" s="57">
        <f t="shared" si="0"/>
        <v>28</v>
      </c>
      <c r="I6" s="30"/>
      <c r="J6" s="71" t="s">
        <v>24</v>
      </c>
      <c r="K6" s="28" t="s">
        <v>12</v>
      </c>
      <c r="L6" s="83">
        <f>E302-B53</f>
        <v>-58</v>
      </c>
      <c r="M6" s="96">
        <f t="shared" si="2"/>
        <v>1</v>
      </c>
      <c r="N6" s="18" t="s">
        <v>3</v>
      </c>
      <c r="O6" s="19">
        <v>0.2</v>
      </c>
      <c r="P6" s="94" t="s">
        <v>21</v>
      </c>
      <c r="Q6" s="26">
        <v>20</v>
      </c>
      <c r="R6" s="9"/>
    </row>
    <row r="7" spans="1:26" ht="17.25" thickBot="1">
      <c r="A7" s="46">
        <v>20080519</v>
      </c>
      <c r="B7" s="47">
        <v>9269</v>
      </c>
      <c r="C7" s="47">
        <v>9379</v>
      </c>
      <c r="D7" s="47">
        <v>9243</v>
      </c>
      <c r="E7" s="47">
        <v>9370</v>
      </c>
      <c r="F7" s="48">
        <v>44485</v>
      </c>
      <c r="G7" s="57">
        <f t="shared" si="1"/>
        <v>21</v>
      </c>
      <c r="H7" s="57">
        <f t="shared" si="0"/>
        <v>101</v>
      </c>
      <c r="I7" s="30"/>
      <c r="J7" s="34">
        <v>-1</v>
      </c>
      <c r="K7" s="29" t="s">
        <v>28</v>
      </c>
      <c r="L7" s="37">
        <f ca="1">L5-L6</f>
        <v>-595</v>
      </c>
      <c r="M7" s="96">
        <f t="shared" si="2"/>
        <v>1</v>
      </c>
      <c r="N7" s="20" t="s">
        <v>4</v>
      </c>
      <c r="O7" s="21">
        <v>0.6</v>
      </c>
      <c r="P7" s="33"/>
      <c r="Q7" s="11"/>
      <c r="R7" s="9"/>
    </row>
    <row r="8" spans="1:26" hidden="1">
      <c r="A8" s="46">
        <v>20080520</v>
      </c>
      <c r="B8" s="47">
        <v>9356</v>
      </c>
      <c r="C8" s="47">
        <v>9388</v>
      </c>
      <c r="D8" s="47">
        <v>9059</v>
      </c>
      <c r="E8" s="47">
        <v>9074</v>
      </c>
      <c r="F8" s="48">
        <v>77082</v>
      </c>
      <c r="G8" s="57">
        <f t="shared" si="1"/>
        <v>-14</v>
      </c>
      <c r="H8" s="57">
        <f t="shared" si="0"/>
        <v>-282</v>
      </c>
      <c r="I8" s="31"/>
      <c r="J8" s="33"/>
      <c r="K8" s="2"/>
      <c r="L8" s="9"/>
      <c r="M8" s="96">
        <f t="shared" si="2"/>
        <v>0</v>
      </c>
      <c r="N8" s="33"/>
      <c r="O8" s="24"/>
      <c r="P8" s="33"/>
      <c r="Q8" s="11"/>
      <c r="R8" s="24"/>
    </row>
    <row r="9" spans="1:26" hidden="1">
      <c r="A9" s="46">
        <v>20080521</v>
      </c>
      <c r="B9" s="47">
        <v>9029</v>
      </c>
      <c r="C9" s="47">
        <v>9069</v>
      </c>
      <c r="D9" s="47">
        <v>8955</v>
      </c>
      <c r="E9" s="47">
        <v>8990</v>
      </c>
      <c r="F9" s="48">
        <v>46450</v>
      </c>
      <c r="G9" s="57">
        <f t="shared" si="1"/>
        <v>-45</v>
      </c>
      <c r="H9" s="57">
        <f t="shared" si="0"/>
        <v>-39</v>
      </c>
      <c r="I9" s="31"/>
      <c r="J9" s="33"/>
      <c r="K9" s="2"/>
      <c r="L9" s="9"/>
      <c r="M9" s="96">
        <f t="shared" si="2"/>
        <v>0</v>
      </c>
      <c r="N9" s="33"/>
      <c r="O9" s="24"/>
      <c r="P9" s="33"/>
      <c r="Q9" s="11"/>
      <c r="R9" s="24"/>
    </row>
    <row r="10" spans="1:26" hidden="1">
      <c r="A10" s="46">
        <v>20080522</v>
      </c>
      <c r="B10" s="47">
        <v>8875</v>
      </c>
      <c r="C10" s="47">
        <v>9019</v>
      </c>
      <c r="D10" s="47">
        <v>8865</v>
      </c>
      <c r="E10" s="47">
        <v>9018</v>
      </c>
      <c r="F10" s="48">
        <v>56768</v>
      </c>
      <c r="G10" s="57">
        <f t="shared" si="1"/>
        <v>-115</v>
      </c>
      <c r="H10" s="57">
        <f t="shared" si="0"/>
        <v>143</v>
      </c>
      <c r="I10" s="31"/>
      <c r="J10" s="33"/>
      <c r="K10" s="2"/>
      <c r="L10" s="9"/>
      <c r="M10" s="96">
        <f t="shared" si="2"/>
        <v>1</v>
      </c>
      <c r="N10" s="33"/>
      <c r="O10" s="24"/>
      <c r="P10" s="33"/>
      <c r="Q10" s="11"/>
      <c r="R10" s="24"/>
    </row>
    <row r="11" spans="1:26" hidden="1">
      <c r="A11" s="46">
        <v>20080523</v>
      </c>
      <c r="B11" s="47">
        <v>9000</v>
      </c>
      <c r="C11" s="47">
        <v>9027</v>
      </c>
      <c r="D11" s="47">
        <v>8778</v>
      </c>
      <c r="E11" s="47">
        <v>8786</v>
      </c>
      <c r="F11" s="48">
        <v>70595</v>
      </c>
      <c r="G11" s="57">
        <f t="shared" si="1"/>
        <v>-18</v>
      </c>
      <c r="H11" s="57">
        <f t="shared" si="0"/>
        <v>-214</v>
      </c>
      <c r="I11" s="31"/>
      <c r="J11" s="33"/>
      <c r="K11" s="2"/>
      <c r="L11" s="9"/>
      <c r="M11" s="96">
        <f t="shared" si="2"/>
        <v>0</v>
      </c>
      <c r="N11" s="33"/>
      <c r="O11" s="24"/>
      <c r="P11" s="33"/>
      <c r="Q11" s="11"/>
      <c r="R11" s="24"/>
    </row>
    <row r="12" spans="1:26" hidden="1">
      <c r="A12" s="46">
        <v>20080526</v>
      </c>
      <c r="B12" s="47">
        <v>8736</v>
      </c>
      <c r="C12" s="47">
        <v>8790</v>
      </c>
      <c r="D12" s="47">
        <v>8689</v>
      </c>
      <c r="E12" s="47">
        <v>8699</v>
      </c>
      <c r="F12" s="48">
        <v>55917</v>
      </c>
      <c r="G12" s="57">
        <f t="shared" si="1"/>
        <v>-50</v>
      </c>
      <c r="H12" s="57">
        <f t="shared" si="0"/>
        <v>-37</v>
      </c>
      <c r="I12" s="31"/>
      <c r="J12" s="33"/>
      <c r="K12" s="2"/>
      <c r="L12" s="9"/>
      <c r="M12" s="96">
        <f t="shared" si="2"/>
        <v>0</v>
      </c>
      <c r="N12" s="33"/>
      <c r="O12" s="24"/>
      <c r="P12" s="33"/>
      <c r="Q12" s="11"/>
      <c r="R12" s="24"/>
    </row>
    <row r="13" spans="1:26" hidden="1">
      <c r="A13" s="46">
        <v>20080527</v>
      </c>
      <c r="B13" s="47">
        <v>8701</v>
      </c>
      <c r="C13" s="47">
        <v>8785</v>
      </c>
      <c r="D13" s="47">
        <v>8700</v>
      </c>
      <c r="E13" s="47">
        <v>8776</v>
      </c>
      <c r="F13" s="48">
        <v>44009</v>
      </c>
      <c r="G13" s="57">
        <f t="shared" si="1"/>
        <v>2</v>
      </c>
      <c r="H13" s="57">
        <f t="shared" si="0"/>
        <v>75</v>
      </c>
      <c r="I13" s="31"/>
      <c r="J13" s="33"/>
      <c r="K13" s="2"/>
      <c r="L13" s="9"/>
      <c r="M13" s="96">
        <f t="shared" si="2"/>
        <v>1</v>
      </c>
      <c r="N13" s="33"/>
      <c r="O13" s="24"/>
      <c r="P13" s="33"/>
      <c r="Q13" s="11"/>
      <c r="R13" s="24"/>
    </row>
    <row r="14" spans="1:26" hidden="1">
      <c r="A14" s="46">
        <v>20080528</v>
      </c>
      <c r="B14" s="47">
        <v>8790</v>
      </c>
      <c r="C14" s="47">
        <v>8795</v>
      </c>
      <c r="D14" s="47">
        <v>8625</v>
      </c>
      <c r="E14" s="47">
        <v>8646</v>
      </c>
      <c r="F14" s="48">
        <v>65689</v>
      </c>
      <c r="G14" s="57">
        <f t="shared" si="1"/>
        <v>14</v>
      </c>
      <c r="H14" s="57">
        <f t="shared" si="0"/>
        <v>-144</v>
      </c>
      <c r="I14" s="31"/>
      <c r="J14" s="33"/>
      <c r="K14" s="2"/>
      <c r="L14" s="9"/>
      <c r="M14" s="96">
        <f t="shared" si="2"/>
        <v>0</v>
      </c>
      <c r="N14" s="33"/>
      <c r="O14" s="24"/>
      <c r="P14" s="33"/>
      <c r="Q14" s="11"/>
      <c r="R14" s="24"/>
    </row>
    <row r="15" spans="1:26" hidden="1">
      <c r="A15" s="46">
        <v>20080529</v>
      </c>
      <c r="B15" s="47">
        <v>8729</v>
      </c>
      <c r="C15" s="47">
        <v>8771</v>
      </c>
      <c r="D15" s="47">
        <v>8650</v>
      </c>
      <c r="E15" s="47">
        <v>8720</v>
      </c>
      <c r="F15" s="48">
        <v>56717</v>
      </c>
      <c r="G15" s="57">
        <f t="shared" si="1"/>
        <v>83</v>
      </c>
      <c r="H15" s="57">
        <f t="shared" si="0"/>
        <v>-9</v>
      </c>
      <c r="I15" s="31"/>
      <c r="J15" s="33"/>
      <c r="K15" s="2"/>
      <c r="L15" s="9"/>
      <c r="M15" s="96">
        <f t="shared" si="2"/>
        <v>1</v>
      </c>
      <c r="N15" s="33"/>
      <c r="O15" s="24"/>
      <c r="P15" s="33"/>
      <c r="Q15" s="11"/>
      <c r="R15" s="24"/>
    </row>
    <row r="16" spans="1:26" hidden="1">
      <c r="A16" s="46">
        <v>20080530</v>
      </c>
      <c r="B16" s="47">
        <v>8765</v>
      </c>
      <c r="C16" s="47">
        <v>8780</v>
      </c>
      <c r="D16" s="47">
        <v>8536</v>
      </c>
      <c r="E16" s="47">
        <v>8648</v>
      </c>
      <c r="F16" s="48">
        <v>75934</v>
      </c>
      <c r="G16" s="57">
        <f t="shared" si="1"/>
        <v>45</v>
      </c>
      <c r="H16" s="57">
        <f t="shared" si="0"/>
        <v>-117</v>
      </c>
      <c r="I16" s="31"/>
      <c r="J16" s="33"/>
      <c r="K16" s="2"/>
      <c r="L16" s="9"/>
      <c r="M16" s="96">
        <f t="shared" si="2"/>
        <v>0</v>
      </c>
      <c r="N16" s="33"/>
      <c r="O16" s="24"/>
      <c r="P16" s="33"/>
      <c r="Q16" s="11"/>
      <c r="R16" s="24"/>
    </row>
    <row r="17" spans="1:18" hidden="1">
      <c r="A17" s="46">
        <v>20080602</v>
      </c>
      <c r="B17" s="47">
        <v>8635</v>
      </c>
      <c r="C17" s="47">
        <v>8709</v>
      </c>
      <c r="D17" s="47">
        <v>8603</v>
      </c>
      <c r="E17" s="47">
        <v>8700</v>
      </c>
      <c r="F17" s="48">
        <v>49485</v>
      </c>
      <c r="G17" s="57">
        <f t="shared" si="1"/>
        <v>-13</v>
      </c>
      <c r="H17" s="57">
        <f t="shared" si="0"/>
        <v>65</v>
      </c>
      <c r="I17" s="31"/>
      <c r="J17" s="33"/>
      <c r="K17" s="2"/>
      <c r="L17" s="9"/>
      <c r="M17" s="96">
        <f t="shared" si="2"/>
        <v>1</v>
      </c>
      <c r="N17" s="33"/>
      <c r="O17" s="24"/>
      <c r="P17" s="33"/>
      <c r="Q17" s="11"/>
      <c r="R17" s="24"/>
    </row>
    <row r="18" spans="1:18" hidden="1">
      <c r="A18" s="46">
        <v>20080603</v>
      </c>
      <c r="B18" s="47">
        <v>8644</v>
      </c>
      <c r="C18" s="47">
        <v>8657</v>
      </c>
      <c r="D18" s="47">
        <v>8510</v>
      </c>
      <c r="E18" s="47">
        <v>8540</v>
      </c>
      <c r="F18" s="48">
        <v>55795</v>
      </c>
      <c r="G18" s="57">
        <f t="shared" si="1"/>
        <v>-56</v>
      </c>
      <c r="H18" s="57">
        <f t="shared" si="0"/>
        <v>-104</v>
      </c>
      <c r="I18" s="31"/>
      <c r="J18" s="33"/>
      <c r="K18" s="2"/>
      <c r="L18" s="9"/>
      <c r="M18" s="96">
        <f t="shared" si="2"/>
        <v>0</v>
      </c>
      <c r="N18" s="33"/>
      <c r="O18" s="24"/>
      <c r="P18" s="33"/>
      <c r="Q18" s="11"/>
      <c r="R18" s="24"/>
    </row>
    <row r="19" spans="1:18" hidden="1">
      <c r="A19" s="46">
        <v>20080604</v>
      </c>
      <c r="B19" s="47">
        <v>8540</v>
      </c>
      <c r="C19" s="47">
        <v>8619</v>
      </c>
      <c r="D19" s="47">
        <v>8526</v>
      </c>
      <c r="E19" s="47">
        <v>8592</v>
      </c>
      <c r="F19" s="48">
        <v>44302</v>
      </c>
      <c r="G19" s="57">
        <f t="shared" si="1"/>
        <v>0</v>
      </c>
      <c r="H19" s="57">
        <f t="shared" si="0"/>
        <v>52</v>
      </c>
      <c r="I19" s="31"/>
      <c r="J19" s="33"/>
      <c r="K19" s="2"/>
      <c r="L19" s="9"/>
      <c r="M19" s="96">
        <f t="shared" si="2"/>
        <v>1</v>
      </c>
      <c r="N19" s="33"/>
      <c r="O19" s="24"/>
      <c r="P19" s="33"/>
      <c r="Q19" s="11"/>
      <c r="R19" s="24"/>
    </row>
    <row r="20" spans="1:18" hidden="1">
      <c r="A20" s="46">
        <v>20080605</v>
      </c>
      <c r="B20" s="47">
        <v>8571</v>
      </c>
      <c r="C20" s="47">
        <v>8765</v>
      </c>
      <c r="D20" s="47">
        <v>8472</v>
      </c>
      <c r="E20" s="47">
        <v>8725</v>
      </c>
      <c r="F20" s="48">
        <v>78503</v>
      </c>
      <c r="G20" s="57">
        <f t="shared" si="1"/>
        <v>-21</v>
      </c>
      <c r="H20" s="57">
        <f t="shared" si="0"/>
        <v>154</v>
      </c>
      <c r="I20" s="31"/>
      <c r="J20" s="33"/>
      <c r="K20" s="2"/>
      <c r="L20" s="9"/>
      <c r="M20" s="96">
        <f t="shared" si="2"/>
        <v>1</v>
      </c>
      <c r="N20" s="33"/>
      <c r="O20" s="24"/>
      <c r="P20" s="33"/>
      <c r="Q20" s="11"/>
      <c r="R20" s="24"/>
    </row>
    <row r="21" spans="1:18" hidden="1">
      <c r="A21" s="46">
        <v>20080606</v>
      </c>
      <c r="B21" s="47">
        <v>8788</v>
      </c>
      <c r="C21" s="47">
        <v>8798</v>
      </c>
      <c r="D21" s="47">
        <v>8712</v>
      </c>
      <c r="E21" s="47">
        <v>8756</v>
      </c>
      <c r="F21" s="48">
        <v>49130</v>
      </c>
      <c r="G21" s="57">
        <f t="shared" si="1"/>
        <v>63</v>
      </c>
      <c r="H21" s="57">
        <f t="shared" si="0"/>
        <v>-32</v>
      </c>
      <c r="I21" s="31"/>
      <c r="J21" s="33"/>
      <c r="K21" s="2"/>
      <c r="L21" s="9"/>
      <c r="M21" s="96">
        <f t="shared" si="2"/>
        <v>1</v>
      </c>
      <c r="N21" s="33"/>
      <c r="O21" s="24"/>
      <c r="P21" s="33"/>
      <c r="Q21" s="11"/>
      <c r="R21" s="24"/>
    </row>
    <row r="22" spans="1:18" hidden="1">
      <c r="A22" s="46">
        <v>20080609</v>
      </c>
      <c r="B22" s="47">
        <v>8520</v>
      </c>
      <c r="C22" s="47">
        <v>8555</v>
      </c>
      <c r="D22" s="47">
        <v>8492</v>
      </c>
      <c r="E22" s="47">
        <v>8529</v>
      </c>
      <c r="F22" s="48">
        <v>44676</v>
      </c>
      <c r="G22" s="57">
        <f t="shared" si="1"/>
        <v>-236</v>
      </c>
      <c r="H22" s="57">
        <f t="shared" si="0"/>
        <v>9</v>
      </c>
      <c r="I22" s="31"/>
      <c r="J22" s="33"/>
      <c r="K22" s="2"/>
      <c r="L22" s="9"/>
      <c r="M22" s="96">
        <f t="shared" si="2"/>
        <v>0</v>
      </c>
      <c r="N22" s="33"/>
      <c r="O22" s="24"/>
      <c r="P22" s="33"/>
      <c r="Q22" s="11"/>
      <c r="R22" s="24"/>
    </row>
    <row r="23" spans="1:18" hidden="1">
      <c r="A23" s="46">
        <v>20080610</v>
      </c>
      <c r="B23" s="47">
        <v>8529</v>
      </c>
      <c r="C23" s="47">
        <v>8565</v>
      </c>
      <c r="D23" s="47">
        <v>8321</v>
      </c>
      <c r="E23" s="47">
        <v>8340</v>
      </c>
      <c r="F23" s="48">
        <v>75201</v>
      </c>
      <c r="G23" s="57">
        <f t="shared" si="1"/>
        <v>0</v>
      </c>
      <c r="H23" s="57">
        <f t="shared" si="0"/>
        <v>-189</v>
      </c>
      <c r="I23" s="31"/>
      <c r="J23" s="33"/>
      <c r="K23" s="2"/>
      <c r="L23" s="9"/>
      <c r="M23" s="96">
        <f t="shared" si="2"/>
        <v>0</v>
      </c>
      <c r="N23" s="33"/>
      <c r="O23" s="24"/>
      <c r="P23" s="33"/>
      <c r="Q23" s="11"/>
      <c r="R23" s="24"/>
    </row>
    <row r="24" spans="1:18" hidden="1">
      <c r="A24" s="46">
        <v>20080611</v>
      </c>
      <c r="B24" s="47">
        <v>8365</v>
      </c>
      <c r="C24" s="47">
        <v>8404</v>
      </c>
      <c r="D24" s="47">
        <v>8291</v>
      </c>
      <c r="E24" s="47">
        <v>8316</v>
      </c>
      <c r="F24" s="48">
        <v>58739</v>
      </c>
      <c r="G24" s="57">
        <f t="shared" si="1"/>
        <v>25</v>
      </c>
      <c r="H24" s="57">
        <f t="shared" si="0"/>
        <v>-49</v>
      </c>
      <c r="I24" s="31"/>
      <c r="J24" s="33"/>
      <c r="K24" s="2"/>
      <c r="L24" s="9"/>
      <c r="M24" s="96">
        <f t="shared" si="2"/>
        <v>0</v>
      </c>
      <c r="N24" s="33"/>
      <c r="O24" s="24"/>
      <c r="P24" s="33"/>
      <c r="Q24" s="11"/>
      <c r="R24" s="24"/>
    </row>
    <row r="25" spans="1:18" hidden="1">
      <c r="A25" s="46">
        <v>20080612</v>
      </c>
      <c r="B25" s="47">
        <v>8199</v>
      </c>
      <c r="C25" s="47">
        <v>8204</v>
      </c>
      <c r="D25" s="47">
        <v>7999</v>
      </c>
      <c r="E25" s="47">
        <v>8043</v>
      </c>
      <c r="F25" s="48">
        <v>75451</v>
      </c>
      <c r="G25" s="57">
        <f t="shared" si="1"/>
        <v>-117</v>
      </c>
      <c r="H25" s="57">
        <f t="shared" si="0"/>
        <v>-156</v>
      </c>
      <c r="I25" s="31"/>
      <c r="J25" s="33"/>
      <c r="K25" s="2"/>
      <c r="L25" s="9"/>
      <c r="M25" s="96">
        <f t="shared" si="2"/>
        <v>0</v>
      </c>
      <c r="N25" s="33"/>
      <c r="O25" s="24"/>
      <c r="P25" s="33"/>
      <c r="Q25" s="11"/>
      <c r="R25" s="24"/>
    </row>
    <row r="26" spans="1:18" hidden="1">
      <c r="A26" s="46">
        <v>20080613</v>
      </c>
      <c r="B26" s="47">
        <v>8068</v>
      </c>
      <c r="C26" s="47">
        <v>8140</v>
      </c>
      <c r="D26" s="47">
        <v>8002</v>
      </c>
      <c r="E26" s="47">
        <v>8043</v>
      </c>
      <c r="F26" s="48">
        <v>62762</v>
      </c>
      <c r="G26" s="57">
        <f t="shared" si="1"/>
        <v>25</v>
      </c>
      <c r="H26" s="57">
        <f t="shared" si="0"/>
        <v>-25</v>
      </c>
      <c r="I26" s="31"/>
      <c r="J26" s="33"/>
      <c r="K26" s="2"/>
      <c r="L26" s="9"/>
      <c r="M26" s="96">
        <f t="shared" si="2"/>
        <v>0</v>
      </c>
      <c r="N26" s="33"/>
      <c r="O26" s="24"/>
      <c r="P26" s="33"/>
      <c r="Q26" s="11"/>
      <c r="R26" s="24"/>
    </row>
    <row r="27" spans="1:18" hidden="1">
      <c r="A27" s="46">
        <v>20080616</v>
      </c>
      <c r="B27" s="47">
        <v>8121</v>
      </c>
      <c r="C27" s="47">
        <v>8191</v>
      </c>
      <c r="D27" s="47">
        <v>8100</v>
      </c>
      <c r="E27" s="47">
        <v>8133</v>
      </c>
      <c r="F27" s="48">
        <v>50645</v>
      </c>
      <c r="G27" s="57">
        <f t="shared" si="1"/>
        <v>78</v>
      </c>
      <c r="H27" s="57">
        <f t="shared" si="0"/>
        <v>12</v>
      </c>
      <c r="I27" s="31"/>
      <c r="J27" s="33"/>
      <c r="K27" s="2"/>
      <c r="L27" s="9"/>
      <c r="M27" s="96">
        <f t="shared" si="2"/>
        <v>1</v>
      </c>
      <c r="N27" s="33"/>
      <c r="O27" s="24"/>
      <c r="P27" s="33"/>
      <c r="Q27" s="11"/>
      <c r="R27" s="24"/>
    </row>
    <row r="28" spans="1:18" hidden="1">
      <c r="A28" s="46">
        <v>20080617</v>
      </c>
      <c r="B28" s="47">
        <v>8133</v>
      </c>
      <c r="C28" s="47">
        <v>8177</v>
      </c>
      <c r="D28" s="47">
        <v>8017</v>
      </c>
      <c r="E28" s="47">
        <v>8147</v>
      </c>
      <c r="F28" s="48">
        <v>62708</v>
      </c>
      <c r="G28" s="57">
        <f t="shared" si="1"/>
        <v>0</v>
      </c>
      <c r="H28" s="57">
        <f t="shared" si="0"/>
        <v>14</v>
      </c>
      <c r="I28" s="31"/>
      <c r="J28" s="33"/>
      <c r="K28" s="2"/>
      <c r="L28" s="9"/>
      <c r="M28" s="96">
        <f t="shared" si="2"/>
        <v>1</v>
      </c>
      <c r="N28" s="33"/>
      <c r="O28" s="24"/>
      <c r="P28" s="33"/>
      <c r="Q28" s="11"/>
      <c r="R28" s="24"/>
    </row>
    <row r="29" spans="1:18" hidden="1">
      <c r="A29" s="46">
        <v>20080618</v>
      </c>
      <c r="B29" s="47">
        <v>8030</v>
      </c>
      <c r="C29" s="47">
        <v>8107</v>
      </c>
      <c r="D29" s="47">
        <v>8000</v>
      </c>
      <c r="E29" s="47">
        <v>8081</v>
      </c>
      <c r="F29" s="48">
        <v>34093</v>
      </c>
      <c r="G29" s="57">
        <f t="shared" si="1"/>
        <v>-117</v>
      </c>
      <c r="H29" s="57">
        <f t="shared" si="0"/>
        <v>51</v>
      </c>
      <c r="I29" s="31"/>
      <c r="J29" s="33"/>
      <c r="K29" s="2"/>
      <c r="L29" s="9"/>
      <c r="M29" s="96">
        <f t="shared" si="2"/>
        <v>0</v>
      </c>
      <c r="N29" s="33"/>
      <c r="O29" s="24"/>
      <c r="P29" s="33"/>
      <c r="Q29" s="11"/>
      <c r="R29" s="24"/>
    </row>
    <row r="30" spans="1:18" hidden="1">
      <c r="A30" s="46">
        <v>20080619</v>
      </c>
      <c r="B30" s="47">
        <v>7980</v>
      </c>
      <c r="C30" s="47">
        <v>7980</v>
      </c>
      <c r="D30" s="47">
        <v>7886</v>
      </c>
      <c r="E30" s="47">
        <v>7890</v>
      </c>
      <c r="F30" s="48">
        <v>53288</v>
      </c>
      <c r="G30" s="57">
        <f t="shared" si="1"/>
        <v>-101</v>
      </c>
      <c r="H30" s="57">
        <f t="shared" si="0"/>
        <v>-90</v>
      </c>
      <c r="I30" s="31"/>
      <c r="J30" s="33"/>
      <c r="K30" s="2"/>
      <c r="L30" s="9"/>
      <c r="M30" s="96">
        <f t="shared" si="2"/>
        <v>0</v>
      </c>
      <c r="N30" s="33"/>
      <c r="O30" s="24"/>
      <c r="P30" s="33"/>
      <c r="Q30" s="11"/>
      <c r="R30" s="24"/>
    </row>
    <row r="31" spans="1:18" hidden="1">
      <c r="A31" s="46">
        <v>20080620</v>
      </c>
      <c r="B31" s="47">
        <v>7910</v>
      </c>
      <c r="C31" s="47">
        <v>7937</v>
      </c>
      <c r="D31" s="47">
        <v>7723</v>
      </c>
      <c r="E31" s="47">
        <v>7778</v>
      </c>
      <c r="F31" s="48">
        <v>70541</v>
      </c>
      <c r="G31" s="57">
        <f t="shared" si="1"/>
        <v>20</v>
      </c>
      <c r="H31" s="57">
        <f t="shared" si="0"/>
        <v>-132</v>
      </c>
      <c r="I31" s="31"/>
      <c r="J31" s="33"/>
      <c r="K31" s="2"/>
      <c r="L31" s="9"/>
      <c r="M31" s="96">
        <f t="shared" si="2"/>
        <v>0</v>
      </c>
      <c r="N31" s="33"/>
      <c r="O31" s="24"/>
      <c r="P31" s="33"/>
      <c r="Q31" s="11"/>
      <c r="R31" s="24"/>
    </row>
    <row r="32" spans="1:18" hidden="1">
      <c r="A32" s="46">
        <v>20080623</v>
      </c>
      <c r="B32" s="47">
        <v>7660</v>
      </c>
      <c r="C32" s="47">
        <v>7805</v>
      </c>
      <c r="D32" s="47">
        <v>7630</v>
      </c>
      <c r="E32" s="47">
        <v>7754</v>
      </c>
      <c r="F32" s="48">
        <v>63149</v>
      </c>
      <c r="G32" s="57">
        <f t="shared" si="1"/>
        <v>-118</v>
      </c>
      <c r="H32" s="57">
        <f t="shared" si="0"/>
        <v>94</v>
      </c>
      <c r="I32" s="31"/>
      <c r="J32" s="33"/>
      <c r="K32" s="2"/>
      <c r="L32" s="9"/>
      <c r="M32" s="96">
        <f t="shared" si="2"/>
        <v>0</v>
      </c>
      <c r="N32" s="33"/>
      <c r="O32" s="24"/>
      <c r="P32" s="33"/>
      <c r="Q32" s="11"/>
      <c r="R32" s="24"/>
    </row>
    <row r="33" spans="1:18" hidden="1">
      <c r="A33" s="46">
        <v>20080624</v>
      </c>
      <c r="B33" s="47">
        <v>7715</v>
      </c>
      <c r="C33" s="47">
        <v>7782</v>
      </c>
      <c r="D33" s="47">
        <v>7645</v>
      </c>
      <c r="E33" s="47">
        <v>7693</v>
      </c>
      <c r="F33" s="48">
        <v>64046</v>
      </c>
      <c r="G33" s="57">
        <f t="shared" si="1"/>
        <v>-39</v>
      </c>
      <c r="H33" s="57">
        <f t="shared" si="0"/>
        <v>-22</v>
      </c>
      <c r="I33" s="31"/>
      <c r="J33" s="33"/>
      <c r="K33" s="2"/>
      <c r="L33" s="9"/>
      <c r="M33" s="96">
        <f t="shared" si="2"/>
        <v>0</v>
      </c>
      <c r="N33" s="33"/>
      <c r="O33" s="24"/>
      <c r="P33" s="33"/>
      <c r="Q33" s="11"/>
      <c r="R33" s="24"/>
    </row>
    <row r="34" spans="1:18" hidden="1">
      <c r="A34" s="46">
        <v>20080625</v>
      </c>
      <c r="B34" s="47">
        <v>7671</v>
      </c>
      <c r="C34" s="47">
        <v>7759</v>
      </c>
      <c r="D34" s="47">
        <v>7605</v>
      </c>
      <c r="E34" s="47">
        <v>7753</v>
      </c>
      <c r="F34" s="48">
        <v>69317</v>
      </c>
      <c r="G34" s="57">
        <f t="shared" si="1"/>
        <v>-22</v>
      </c>
      <c r="H34" s="57">
        <f t="shared" si="0"/>
        <v>82</v>
      </c>
      <c r="I34" s="31"/>
      <c r="J34" s="33"/>
      <c r="K34" s="2"/>
      <c r="L34" s="9"/>
      <c r="M34" s="96">
        <f t="shared" si="2"/>
        <v>1</v>
      </c>
      <c r="N34" s="33"/>
      <c r="O34" s="24"/>
      <c r="P34" s="33"/>
      <c r="Q34" s="11"/>
      <c r="R34" s="24"/>
    </row>
    <row r="35" spans="1:18" hidden="1">
      <c r="A35" s="46">
        <v>20080626</v>
      </c>
      <c r="B35" s="47">
        <v>7753</v>
      </c>
      <c r="C35" s="47">
        <v>7798</v>
      </c>
      <c r="D35" s="47">
        <v>7690</v>
      </c>
      <c r="E35" s="47">
        <v>7693</v>
      </c>
      <c r="F35" s="48">
        <v>60885</v>
      </c>
      <c r="G35" s="57">
        <f t="shared" si="1"/>
        <v>0</v>
      </c>
      <c r="H35" s="57">
        <f t="shared" si="0"/>
        <v>-60</v>
      </c>
      <c r="I35" s="31"/>
      <c r="J35" s="33"/>
      <c r="K35" s="2"/>
      <c r="L35" s="9"/>
      <c r="M35" s="96">
        <f t="shared" si="2"/>
        <v>0</v>
      </c>
      <c r="N35" s="33"/>
      <c r="O35" s="24"/>
      <c r="P35" s="33"/>
      <c r="Q35" s="11"/>
      <c r="R35" s="24"/>
    </row>
    <row r="36" spans="1:18" hidden="1">
      <c r="A36" s="46">
        <v>20080627</v>
      </c>
      <c r="B36" s="47">
        <v>7381</v>
      </c>
      <c r="C36" s="47">
        <v>7460</v>
      </c>
      <c r="D36" s="47">
        <v>7341</v>
      </c>
      <c r="E36" s="47">
        <v>7416</v>
      </c>
      <c r="F36" s="48">
        <v>67430</v>
      </c>
      <c r="G36" s="57">
        <f t="shared" si="1"/>
        <v>-312</v>
      </c>
      <c r="H36" s="57">
        <f t="shared" si="0"/>
        <v>35</v>
      </c>
      <c r="I36" s="31"/>
      <c r="J36" s="33"/>
      <c r="K36" s="2"/>
      <c r="L36" s="9"/>
      <c r="M36" s="96">
        <f t="shared" si="2"/>
        <v>0</v>
      </c>
      <c r="N36" s="33"/>
      <c r="O36" s="24"/>
      <c r="P36" s="33"/>
      <c r="Q36" s="11"/>
      <c r="R36" s="24"/>
    </row>
    <row r="37" spans="1:18" hidden="1">
      <c r="A37" s="46">
        <v>20080630</v>
      </c>
      <c r="B37" s="47">
        <v>7470</v>
      </c>
      <c r="C37" s="47">
        <v>7490</v>
      </c>
      <c r="D37" s="47">
        <v>7382</v>
      </c>
      <c r="E37" s="47">
        <v>7416</v>
      </c>
      <c r="F37" s="48">
        <v>51350</v>
      </c>
      <c r="G37" s="57">
        <f t="shared" si="1"/>
        <v>54</v>
      </c>
      <c r="H37" s="57">
        <f t="shared" si="0"/>
        <v>-54</v>
      </c>
      <c r="I37" s="31"/>
      <c r="J37" s="33"/>
      <c r="K37" s="2"/>
      <c r="L37" s="9"/>
      <c r="M37" s="96">
        <f t="shared" si="2"/>
        <v>0</v>
      </c>
      <c r="N37" s="33"/>
      <c r="O37" s="24"/>
      <c r="P37" s="33"/>
      <c r="Q37" s="11"/>
      <c r="R37" s="24"/>
    </row>
    <row r="38" spans="1:18" hidden="1">
      <c r="A38" s="46">
        <v>20080701</v>
      </c>
      <c r="B38" s="47">
        <v>7410</v>
      </c>
      <c r="C38" s="47">
        <v>7477</v>
      </c>
      <c r="D38" s="47">
        <v>7291</v>
      </c>
      <c r="E38" s="47">
        <v>7291</v>
      </c>
      <c r="F38" s="48">
        <v>62859</v>
      </c>
      <c r="G38" s="57">
        <f t="shared" si="1"/>
        <v>-6</v>
      </c>
      <c r="H38" s="57">
        <f t="shared" si="0"/>
        <v>-119</v>
      </c>
      <c r="I38" s="31"/>
      <c r="J38" s="33"/>
      <c r="K38" s="2"/>
      <c r="L38" s="9"/>
      <c r="M38" s="96">
        <f t="shared" si="2"/>
        <v>0</v>
      </c>
      <c r="N38" s="33"/>
      <c r="O38" s="24"/>
      <c r="P38" s="33"/>
      <c r="Q38" s="11"/>
      <c r="R38" s="24"/>
    </row>
    <row r="39" spans="1:18" hidden="1">
      <c r="A39" s="46">
        <v>20080702</v>
      </c>
      <c r="B39" s="47">
        <v>7308</v>
      </c>
      <c r="C39" s="47">
        <v>7394</v>
      </c>
      <c r="D39" s="47">
        <v>7245</v>
      </c>
      <c r="E39" s="47">
        <v>7245</v>
      </c>
      <c r="F39" s="48">
        <v>74191</v>
      </c>
      <c r="G39" s="57">
        <f t="shared" si="1"/>
        <v>17</v>
      </c>
      <c r="H39" s="57">
        <f t="shared" si="0"/>
        <v>-63</v>
      </c>
      <c r="I39" s="31"/>
      <c r="J39" s="33"/>
      <c r="K39" s="2"/>
      <c r="L39" s="9"/>
      <c r="M39" s="96">
        <f t="shared" si="2"/>
        <v>0</v>
      </c>
      <c r="N39" s="33"/>
      <c r="O39" s="24"/>
      <c r="P39" s="33"/>
      <c r="Q39" s="11"/>
      <c r="R39" s="24"/>
    </row>
    <row r="40" spans="1:18" hidden="1">
      <c r="A40" s="46">
        <v>20080703</v>
      </c>
      <c r="B40" s="47">
        <v>7140</v>
      </c>
      <c r="C40" s="47">
        <v>7377</v>
      </c>
      <c r="D40" s="47">
        <v>7055</v>
      </c>
      <c r="E40" s="47">
        <v>7299</v>
      </c>
      <c r="F40" s="48">
        <v>88259</v>
      </c>
      <c r="G40" s="57">
        <f t="shared" si="1"/>
        <v>-105</v>
      </c>
      <c r="H40" s="57">
        <f t="shared" si="0"/>
        <v>159</v>
      </c>
      <c r="I40" s="31"/>
      <c r="J40" s="33"/>
      <c r="K40" s="2"/>
      <c r="L40" s="9"/>
      <c r="M40" s="96">
        <f t="shared" si="2"/>
        <v>1</v>
      </c>
      <c r="N40" s="33"/>
      <c r="O40" s="24"/>
      <c r="P40" s="33"/>
      <c r="Q40" s="11"/>
      <c r="R40" s="24"/>
    </row>
    <row r="41" spans="1:18" hidden="1">
      <c r="A41" s="46">
        <v>20080704</v>
      </c>
      <c r="B41" s="47">
        <v>7282</v>
      </c>
      <c r="C41" s="47">
        <v>7323</v>
      </c>
      <c r="D41" s="47">
        <v>7099</v>
      </c>
      <c r="E41" s="47">
        <v>7100</v>
      </c>
      <c r="F41" s="48">
        <v>68335</v>
      </c>
      <c r="G41" s="57">
        <f t="shared" si="1"/>
        <v>-17</v>
      </c>
      <c r="H41" s="57">
        <f t="shared" si="0"/>
        <v>-182</v>
      </c>
      <c r="I41" s="31"/>
      <c r="J41" s="33"/>
      <c r="K41" s="2"/>
      <c r="L41" s="9"/>
      <c r="M41" s="96">
        <f t="shared" si="2"/>
        <v>0</v>
      </c>
      <c r="N41" s="33"/>
      <c r="O41" s="24"/>
      <c r="P41" s="33"/>
      <c r="Q41" s="11"/>
      <c r="R41" s="24"/>
    </row>
    <row r="42" spans="1:18">
      <c r="A42" s="46">
        <v>20080707</v>
      </c>
      <c r="B42" s="47">
        <v>7096</v>
      </c>
      <c r="C42" s="47">
        <v>7279</v>
      </c>
      <c r="D42" s="47">
        <v>7075</v>
      </c>
      <c r="E42" s="47">
        <v>7258</v>
      </c>
      <c r="F42" s="48">
        <v>62177</v>
      </c>
      <c r="G42" s="57">
        <f t="shared" si="1"/>
        <v>-4</v>
      </c>
      <c r="H42" s="57">
        <f t="shared" si="0"/>
        <v>162</v>
      </c>
      <c r="I42" s="31"/>
      <c r="J42" s="33"/>
      <c r="K42" s="2"/>
      <c r="L42" s="9"/>
      <c r="M42" s="96">
        <f t="shared" si="2"/>
        <v>1</v>
      </c>
      <c r="N42" s="33"/>
      <c r="O42" s="24"/>
      <c r="P42" s="33"/>
      <c r="Q42" s="11"/>
      <c r="R42" s="24"/>
    </row>
    <row r="43" spans="1:18">
      <c r="A43" s="46">
        <v>20080708</v>
      </c>
      <c r="B43" s="47">
        <v>7199</v>
      </c>
      <c r="C43" s="47">
        <v>7200</v>
      </c>
      <c r="D43" s="47">
        <v>6892</v>
      </c>
      <c r="E43" s="47">
        <v>6988</v>
      </c>
      <c r="F43" s="48">
        <v>86073</v>
      </c>
      <c r="G43" s="57">
        <f t="shared" si="1"/>
        <v>-59</v>
      </c>
      <c r="H43" s="57">
        <f t="shared" si="0"/>
        <v>-211</v>
      </c>
      <c r="I43" s="31"/>
      <c r="J43" s="33"/>
      <c r="K43" s="2"/>
      <c r="L43" s="9"/>
      <c r="M43" s="96">
        <f t="shared" si="2"/>
        <v>0</v>
      </c>
      <c r="N43" s="33"/>
      <c r="O43" s="24"/>
      <c r="P43" s="33"/>
      <c r="Q43" s="11"/>
      <c r="R43" s="24"/>
    </row>
    <row r="44" spans="1:18">
      <c r="A44" s="46">
        <v>20080709</v>
      </c>
      <c r="B44" s="47">
        <v>7095</v>
      </c>
      <c r="C44" s="47">
        <v>7185</v>
      </c>
      <c r="D44" s="47">
        <v>6950</v>
      </c>
      <c r="E44" s="47">
        <v>7011</v>
      </c>
      <c r="F44" s="48">
        <v>95503</v>
      </c>
      <c r="G44" s="57">
        <f t="shared" si="1"/>
        <v>107</v>
      </c>
      <c r="H44" s="57">
        <f t="shared" si="0"/>
        <v>-84</v>
      </c>
      <c r="I44" s="31"/>
      <c r="J44" s="33"/>
      <c r="K44" s="2"/>
      <c r="L44" s="9"/>
      <c r="M44" s="96">
        <f t="shared" si="2"/>
        <v>1</v>
      </c>
      <c r="N44" s="33"/>
      <c r="O44" s="24"/>
      <c r="P44" s="33"/>
      <c r="Q44" s="11"/>
      <c r="R44" s="24"/>
    </row>
    <row r="45" spans="1:18">
      <c r="A45" s="46">
        <v>20080710</v>
      </c>
      <c r="B45" s="47">
        <v>6958</v>
      </c>
      <c r="C45" s="47">
        <v>7116</v>
      </c>
      <c r="D45" s="47">
        <v>6893</v>
      </c>
      <c r="E45" s="47">
        <v>7010</v>
      </c>
      <c r="F45" s="48">
        <v>94064</v>
      </c>
      <c r="G45" s="57">
        <f t="shared" si="1"/>
        <v>-53</v>
      </c>
      <c r="H45" s="57">
        <f t="shared" si="0"/>
        <v>52</v>
      </c>
      <c r="I45" s="31"/>
      <c r="J45" s="33"/>
      <c r="K45" s="2"/>
      <c r="L45" s="9"/>
      <c r="M45" s="96">
        <f t="shared" si="2"/>
        <v>0</v>
      </c>
      <c r="N45" s="33"/>
      <c r="O45" s="24"/>
      <c r="P45" s="33"/>
      <c r="Q45" s="11"/>
      <c r="R45" s="24"/>
    </row>
    <row r="46" spans="1:18">
      <c r="A46" s="46">
        <v>20080711</v>
      </c>
      <c r="B46" s="47">
        <v>6973</v>
      </c>
      <c r="C46" s="47">
        <v>7206</v>
      </c>
      <c r="D46" s="47">
        <v>6963</v>
      </c>
      <c r="E46" s="47">
        <v>7181</v>
      </c>
      <c r="F46" s="48">
        <v>97903</v>
      </c>
      <c r="G46" s="57">
        <f t="shared" si="1"/>
        <v>-37</v>
      </c>
      <c r="H46" s="57">
        <f t="shared" si="0"/>
        <v>208</v>
      </c>
      <c r="I46" s="31"/>
      <c r="J46" s="33"/>
      <c r="K46" s="2"/>
      <c r="L46" s="9"/>
      <c r="M46" s="96">
        <f t="shared" si="2"/>
        <v>1</v>
      </c>
      <c r="N46" s="33"/>
      <c r="O46" s="24"/>
      <c r="P46" s="33"/>
      <c r="Q46" s="11"/>
      <c r="R46" s="24"/>
    </row>
    <row r="47" spans="1:18">
      <c r="A47" s="46">
        <v>20080714</v>
      </c>
      <c r="B47" s="47">
        <v>7200</v>
      </c>
      <c r="C47" s="47">
        <v>7238</v>
      </c>
      <c r="D47" s="47">
        <v>7088</v>
      </c>
      <c r="E47" s="47">
        <v>7152</v>
      </c>
      <c r="F47" s="48">
        <v>74123</v>
      </c>
      <c r="G47" s="57">
        <f t="shared" si="1"/>
        <v>19</v>
      </c>
      <c r="H47" s="57">
        <f t="shared" si="0"/>
        <v>-48</v>
      </c>
      <c r="I47" s="31"/>
      <c r="J47" s="33"/>
      <c r="K47" s="2"/>
      <c r="L47" s="9"/>
      <c r="M47" s="96">
        <f t="shared" si="2"/>
        <v>0</v>
      </c>
      <c r="N47" s="33"/>
      <c r="O47" s="24"/>
      <c r="P47" s="33"/>
      <c r="Q47" s="11"/>
      <c r="R47" s="24"/>
    </row>
    <row r="48" spans="1:18">
      <c r="A48" s="46">
        <v>20080715</v>
      </c>
      <c r="B48" s="47">
        <v>7050</v>
      </c>
      <c r="C48" s="47">
        <v>7065</v>
      </c>
      <c r="D48" s="47">
        <v>6744</v>
      </c>
      <c r="E48" s="47">
        <v>6790</v>
      </c>
      <c r="F48" s="48">
        <v>89664</v>
      </c>
      <c r="G48" s="57">
        <f t="shared" si="1"/>
        <v>-102</v>
      </c>
      <c r="H48" s="57">
        <f t="shared" si="0"/>
        <v>-260</v>
      </c>
      <c r="I48" s="31"/>
      <c r="J48" s="33"/>
      <c r="K48" s="2"/>
      <c r="L48" s="9"/>
      <c r="M48" s="96">
        <f t="shared" si="2"/>
        <v>0</v>
      </c>
      <c r="N48" s="33"/>
      <c r="O48" s="24"/>
      <c r="P48" s="33"/>
      <c r="Q48" s="11"/>
      <c r="R48" s="24"/>
    </row>
    <row r="49" spans="1:30">
      <c r="A49" s="46">
        <v>20080716</v>
      </c>
      <c r="B49" s="47">
        <v>6712</v>
      </c>
      <c r="C49" s="47">
        <v>6725</v>
      </c>
      <c r="D49" s="47">
        <v>6532</v>
      </c>
      <c r="E49" s="47">
        <v>6541</v>
      </c>
      <c r="F49" s="48">
        <v>50918</v>
      </c>
      <c r="G49" s="57">
        <f t="shared" si="1"/>
        <v>-78</v>
      </c>
      <c r="H49" s="57">
        <f t="shared" si="0"/>
        <v>-171</v>
      </c>
      <c r="I49" s="31"/>
      <c r="J49" s="33"/>
      <c r="K49" s="2"/>
      <c r="L49" s="9"/>
      <c r="M49" s="96">
        <f t="shared" si="2"/>
        <v>0</v>
      </c>
      <c r="N49" s="33"/>
      <c r="O49" s="24"/>
      <c r="P49" s="33"/>
      <c r="Q49" s="11"/>
      <c r="R49" s="24"/>
    </row>
    <row r="50" spans="1:30">
      <c r="A50" s="46">
        <v>20080717</v>
      </c>
      <c r="B50" s="47">
        <v>6700</v>
      </c>
      <c r="C50" s="47">
        <v>6848</v>
      </c>
      <c r="D50" s="47">
        <v>6689</v>
      </c>
      <c r="E50" s="47">
        <v>6797</v>
      </c>
      <c r="F50" s="48">
        <v>74675</v>
      </c>
      <c r="G50" s="57">
        <f t="shared" si="1"/>
        <v>159</v>
      </c>
      <c r="H50" s="57">
        <f t="shared" si="0"/>
        <v>97</v>
      </c>
      <c r="I50" s="31"/>
      <c r="J50" s="33"/>
      <c r="K50" s="2"/>
      <c r="L50" s="9"/>
      <c r="M50" s="96">
        <f t="shared" si="2"/>
        <v>1</v>
      </c>
      <c r="N50" s="33"/>
      <c r="O50" s="24"/>
      <c r="P50" s="33"/>
      <c r="Q50" s="11"/>
      <c r="R50" s="24"/>
    </row>
    <row r="51" spans="1:30" ht="17.25" thickBot="1">
      <c r="A51" s="46">
        <v>20080718</v>
      </c>
      <c r="B51" s="47">
        <v>6860</v>
      </c>
      <c r="C51" s="47">
        <v>6888</v>
      </c>
      <c r="D51" s="47">
        <v>6599</v>
      </c>
      <c r="E51" s="47">
        <v>6681</v>
      </c>
      <c r="F51" s="48">
        <v>87374</v>
      </c>
      <c r="G51" s="57">
        <f t="shared" si="1"/>
        <v>63</v>
      </c>
      <c r="H51" s="57">
        <f t="shared" si="0"/>
        <v>-179</v>
      </c>
      <c r="I51" s="31"/>
      <c r="J51" s="33"/>
      <c r="K51" s="2"/>
      <c r="L51" s="9"/>
      <c r="M51" s="96">
        <f t="shared" si="2"/>
        <v>0</v>
      </c>
      <c r="N51" s="33"/>
      <c r="O51" s="24"/>
      <c r="P51" s="33"/>
      <c r="Q51" s="11"/>
      <c r="R51" s="24"/>
    </row>
    <row r="52" spans="1:30" ht="17.25" thickBot="1">
      <c r="A52" s="49">
        <v>20080721</v>
      </c>
      <c r="B52" s="50">
        <v>6845</v>
      </c>
      <c r="C52" s="50">
        <v>7020</v>
      </c>
      <c r="D52" s="50">
        <v>6840</v>
      </c>
      <c r="E52" s="50">
        <v>7007</v>
      </c>
      <c r="F52" s="51">
        <v>71688</v>
      </c>
      <c r="G52" s="57">
        <f t="shared" si="1"/>
        <v>164</v>
      </c>
      <c r="H52" s="58">
        <f t="shared" si="0"/>
        <v>162</v>
      </c>
      <c r="I52" s="35">
        <v>0</v>
      </c>
      <c r="J52" s="86">
        <v>0</v>
      </c>
      <c r="K52" s="70"/>
      <c r="L52" s="99">
        <v>0</v>
      </c>
      <c r="M52" s="97">
        <f t="shared" si="2"/>
        <v>1</v>
      </c>
      <c r="N52" s="33"/>
      <c r="O52" s="24"/>
      <c r="P52" s="27">
        <f ca="1">AVERAGE(E52:OFFSET(E52,-(Q$5-1),0))</f>
        <v>6894.875</v>
      </c>
      <c r="Q52" s="27">
        <f ca="1">AVERAGE(E52:OFFSET(E52,-(Q$6-1),0))</f>
        <v>7166.1</v>
      </c>
      <c r="R52" s="22"/>
      <c r="S52" s="112" t="s">
        <v>32</v>
      </c>
      <c r="T52" s="113"/>
      <c r="U52" s="80">
        <v>20</v>
      </c>
      <c r="V52" s="81">
        <v>21</v>
      </c>
      <c r="W52" s="80">
        <v>22</v>
      </c>
      <c r="X52" s="81">
        <v>23</v>
      </c>
      <c r="Y52" s="80">
        <v>24</v>
      </c>
      <c r="Z52" s="81">
        <v>25</v>
      </c>
      <c r="AA52" s="80">
        <v>26</v>
      </c>
      <c r="AB52" s="81">
        <v>27</v>
      </c>
      <c r="AC52" s="80">
        <v>28</v>
      </c>
      <c r="AD52" s="81">
        <v>29</v>
      </c>
    </row>
    <row r="53" spans="1:30">
      <c r="A53" s="43">
        <v>20080722</v>
      </c>
      <c r="B53" s="44">
        <v>6943</v>
      </c>
      <c r="C53" s="44">
        <v>7010</v>
      </c>
      <c r="D53" s="44">
        <v>6886</v>
      </c>
      <c r="E53" s="44">
        <v>6967</v>
      </c>
      <c r="F53" s="45">
        <v>75340</v>
      </c>
      <c r="G53" s="57">
        <f t="shared" si="1"/>
        <v>-64</v>
      </c>
      <c r="H53" s="56">
        <f t="shared" si="0"/>
        <v>24</v>
      </c>
      <c r="I53" s="66">
        <f t="shared" ref="I53:I116" ca="1" si="3">IF(OR(O53=1,R53=1),1,IF(OR(O53=-1,R53=-1),-1,0))</f>
        <v>0</v>
      </c>
      <c r="J53" s="68">
        <f t="shared" ref="J53:J116" si="4">IF((J52+I52)&gt;=J$5, J$5, IF((J52+I52)&lt;=J$7, J$7, J52+I52))</f>
        <v>0</v>
      </c>
      <c r="K53" s="69">
        <f t="shared" ref="K53:K116" si="5">J52*(G53+H53)+(J53-J52)*H53</f>
        <v>0</v>
      </c>
      <c r="L53" s="100">
        <f>L52+K53</f>
        <v>0</v>
      </c>
      <c r="M53" s="60">
        <f t="shared" si="2"/>
        <v>0</v>
      </c>
      <c r="N53" s="38">
        <f ca="1">AVERAGE(M53:OFFSET(M53,-(O$5-1),0))</f>
        <v>0.4</v>
      </c>
      <c r="O53" s="61">
        <f ca="1">IF(N53&lt;=O$6, 1, IF(N53&gt;=O$7,-1, 0))</f>
        <v>0</v>
      </c>
      <c r="P53" s="64">
        <f ca="1">AVERAGE(E53:OFFSET(E53,-(Q$5-1),0))</f>
        <v>6889.5</v>
      </c>
      <c r="Q53" s="39">
        <f ca="1">AVERAGE(E53:OFFSET(E53,-(Q$6-1),0))</f>
        <v>7129.8</v>
      </c>
      <c r="R53" s="61">
        <f ca="1">IF(AND(P52&lt;=Q52,P53&gt;Q53),1,IF(AND(P52&gt;=Q52,P53&lt;Q53),-1,0))</f>
        <v>0</v>
      </c>
      <c r="S53" s="109" t="s">
        <v>31</v>
      </c>
      <c r="T53" s="77">
        <v>5</v>
      </c>
      <c r="U53" s="74">
        <v>-4302</v>
      </c>
      <c r="V53" s="72">
        <v>-4116</v>
      </c>
      <c r="W53" s="72">
        <v>-4546</v>
      </c>
      <c r="X53" s="72">
        <v>-4677</v>
      </c>
      <c r="Y53" s="72">
        <v>-4725</v>
      </c>
      <c r="Z53" s="72">
        <v>-4408</v>
      </c>
      <c r="AA53" s="72">
        <v>-4431</v>
      </c>
      <c r="AB53" s="72">
        <v>-4304</v>
      </c>
      <c r="AC53" s="72">
        <v>-4229</v>
      </c>
      <c r="AD53" s="73">
        <v>-4229</v>
      </c>
    </row>
    <row r="54" spans="1:30">
      <c r="A54" s="46">
        <v>20080723</v>
      </c>
      <c r="B54" s="47">
        <v>7100</v>
      </c>
      <c r="C54" s="47">
        <v>7250</v>
      </c>
      <c r="D54" s="47">
        <v>7075</v>
      </c>
      <c r="E54" s="47">
        <v>7186</v>
      </c>
      <c r="F54" s="48">
        <v>80107</v>
      </c>
      <c r="G54" s="57">
        <f t="shared" si="1"/>
        <v>133</v>
      </c>
      <c r="H54" s="57">
        <f t="shared" si="0"/>
        <v>86</v>
      </c>
      <c r="I54" s="67">
        <f t="shared" ca="1" si="3"/>
        <v>0</v>
      </c>
      <c r="J54" s="68">
        <f t="shared" ca="1" si="4"/>
        <v>0</v>
      </c>
      <c r="K54" s="69">
        <f t="shared" ca="1" si="5"/>
        <v>0</v>
      </c>
      <c r="L54" s="42">
        <f t="shared" ref="L54:L117" ca="1" si="6">L53+K54</f>
        <v>0</v>
      </c>
      <c r="M54" s="62">
        <f t="shared" si="2"/>
        <v>1</v>
      </c>
      <c r="N54" s="40">
        <f ca="1">AVERAGE(M54:OFFSET(M54,-(O$5-1),0))</f>
        <v>0.4</v>
      </c>
      <c r="O54" s="63">
        <f t="shared" ref="O54:O117" ca="1" si="7">IF(N54&lt;=O$6, 1, IF(N54&gt;=O$7,-1, 0))</f>
        <v>0</v>
      </c>
      <c r="P54" s="65">
        <f ca="1">AVERAGE(E54:OFFSET(E54,-(Q$5-1),0))</f>
        <v>6890.125</v>
      </c>
      <c r="Q54" s="41">
        <f ca="1">AVERAGE(E54:OFFSET(E54,-(Q$6-1),0))</f>
        <v>7101.45</v>
      </c>
      <c r="R54" s="63">
        <f t="shared" ref="R54:R117" ca="1" si="8">IF(AND(P53&lt;=Q53,P54&gt;Q54),1,IF(AND(P53&gt;=Q53,P54&lt;Q54),-1,0))</f>
        <v>0</v>
      </c>
      <c r="S54" s="110"/>
      <c r="T54" s="78">
        <v>6</v>
      </c>
      <c r="U54" s="75">
        <v>-4460</v>
      </c>
      <c r="V54" s="1">
        <v>-4921</v>
      </c>
      <c r="W54" s="1">
        <v>-4556</v>
      </c>
      <c r="X54" s="1">
        <v>-4530</v>
      </c>
      <c r="Y54" s="1">
        <v>-4325</v>
      </c>
      <c r="Z54" s="1">
        <v>-4283</v>
      </c>
      <c r="AA54" s="1">
        <v>-4276</v>
      </c>
      <c r="AB54" s="1">
        <v>-4212</v>
      </c>
      <c r="AC54" s="1">
        <v>-4059</v>
      </c>
      <c r="AD54" s="4">
        <v>-3912</v>
      </c>
    </row>
    <row r="55" spans="1:30">
      <c r="A55" s="46">
        <v>20080724</v>
      </c>
      <c r="B55" s="47">
        <v>7262</v>
      </c>
      <c r="C55" s="47">
        <v>7306</v>
      </c>
      <c r="D55" s="47">
        <v>7208</v>
      </c>
      <c r="E55" s="47">
        <v>7304</v>
      </c>
      <c r="F55" s="48">
        <v>64280</v>
      </c>
      <c r="G55" s="57">
        <f t="shared" si="1"/>
        <v>76</v>
      </c>
      <c r="H55" s="57">
        <f t="shared" si="0"/>
        <v>42</v>
      </c>
      <c r="I55" s="67">
        <f t="shared" ca="1" si="3"/>
        <v>0</v>
      </c>
      <c r="J55" s="68">
        <f t="shared" ca="1" si="4"/>
        <v>0</v>
      </c>
      <c r="K55" s="69">
        <f t="shared" ca="1" si="5"/>
        <v>0</v>
      </c>
      <c r="L55" s="42">
        <f t="shared" ca="1" si="6"/>
        <v>0</v>
      </c>
      <c r="M55" s="62">
        <f t="shared" si="2"/>
        <v>1</v>
      </c>
      <c r="N55" s="40">
        <f ca="1">AVERAGE(M55:OFFSET(M55,-(O$5-1),0))</f>
        <v>0.5</v>
      </c>
      <c r="O55" s="63">
        <f t="shared" ca="1" si="7"/>
        <v>0</v>
      </c>
      <c r="P55" s="65">
        <f ca="1">AVERAGE(E55:OFFSET(E55,-(Q$5-1),0))</f>
        <v>6909.125</v>
      </c>
      <c r="Q55" s="41">
        <f ca="1">AVERAGE(E55:OFFSET(E55,-(Q$6-1),0))</f>
        <v>7082</v>
      </c>
      <c r="R55" s="63">
        <f t="shared" ca="1" si="8"/>
        <v>0</v>
      </c>
      <c r="S55" s="110"/>
      <c r="T55" s="78">
        <v>7</v>
      </c>
      <c r="U55" s="75">
        <v>-4262</v>
      </c>
      <c r="V55" s="1">
        <v>-4144</v>
      </c>
      <c r="W55" s="1">
        <v>-4493</v>
      </c>
      <c r="X55" s="1">
        <v>-4537</v>
      </c>
      <c r="Y55" s="1">
        <v>-4157</v>
      </c>
      <c r="Z55" s="1">
        <v>-3808</v>
      </c>
      <c r="AA55" s="1">
        <v>-3865</v>
      </c>
      <c r="AB55" s="1">
        <v>-3765</v>
      </c>
      <c r="AC55" s="1">
        <v>-3792</v>
      </c>
      <c r="AD55" s="4">
        <v>-3737</v>
      </c>
    </row>
    <row r="56" spans="1:30">
      <c r="A56" s="46">
        <v>20080725</v>
      </c>
      <c r="B56" s="47">
        <v>7188</v>
      </c>
      <c r="C56" s="47">
        <v>7190</v>
      </c>
      <c r="D56" s="47">
        <v>7082</v>
      </c>
      <c r="E56" s="47">
        <v>7170</v>
      </c>
      <c r="F56" s="48">
        <v>62125</v>
      </c>
      <c r="G56" s="57">
        <f t="shared" si="1"/>
        <v>-116</v>
      </c>
      <c r="H56" s="57">
        <f t="shared" si="0"/>
        <v>-18</v>
      </c>
      <c r="I56" s="67">
        <f t="shared" ca="1" si="3"/>
        <v>0</v>
      </c>
      <c r="J56" s="68">
        <f t="shared" ca="1" si="4"/>
        <v>0</v>
      </c>
      <c r="K56" s="69">
        <f t="shared" ca="1" si="5"/>
        <v>0</v>
      </c>
      <c r="L56" s="42">
        <f t="shared" ca="1" si="6"/>
        <v>0</v>
      </c>
      <c r="M56" s="62">
        <f t="shared" si="2"/>
        <v>0</v>
      </c>
      <c r="N56" s="40">
        <f ca="1">AVERAGE(M56:OFFSET(M56,-(O$5-1),0))</f>
        <v>0.4</v>
      </c>
      <c r="O56" s="63">
        <f t="shared" ca="1" si="7"/>
        <v>0</v>
      </c>
      <c r="P56" s="65">
        <f ca="1">AVERAGE(E56:OFFSET(E56,-(Q$5-1),0))</f>
        <v>6956.625</v>
      </c>
      <c r="Q56" s="41">
        <f ca="1">AVERAGE(E56:OFFSET(E56,-(Q$6-1),0))</f>
        <v>7069.7</v>
      </c>
      <c r="R56" s="63">
        <f t="shared" ca="1" si="8"/>
        <v>0</v>
      </c>
      <c r="S56" s="110"/>
      <c r="T56" s="78">
        <v>8</v>
      </c>
      <c r="U56" s="75">
        <v>-4129</v>
      </c>
      <c r="V56" s="1">
        <v>-4114</v>
      </c>
      <c r="W56" s="1">
        <v>-3901</v>
      </c>
      <c r="X56" s="1">
        <v>-3975</v>
      </c>
      <c r="Y56" s="1">
        <v>-4321</v>
      </c>
      <c r="Z56" s="1">
        <v>-4284</v>
      </c>
      <c r="AA56" s="1">
        <v>-4280</v>
      </c>
      <c r="AB56" s="1">
        <v>-4250</v>
      </c>
      <c r="AC56" s="1">
        <v>-3875</v>
      </c>
      <c r="AD56" s="4">
        <v>-3875</v>
      </c>
    </row>
    <row r="57" spans="1:30">
      <c r="A57" s="46">
        <v>20080729</v>
      </c>
      <c r="B57" s="47">
        <v>6950</v>
      </c>
      <c r="C57" s="47">
        <v>6980</v>
      </c>
      <c r="D57" s="47">
        <v>6866</v>
      </c>
      <c r="E57" s="47">
        <v>6916</v>
      </c>
      <c r="F57" s="48">
        <v>57587</v>
      </c>
      <c r="G57" s="57">
        <f t="shared" si="1"/>
        <v>-220</v>
      </c>
      <c r="H57" s="57">
        <f t="shared" si="0"/>
        <v>-34</v>
      </c>
      <c r="I57" s="67">
        <f t="shared" ca="1" si="3"/>
        <v>0</v>
      </c>
      <c r="J57" s="68">
        <f t="shared" ca="1" si="4"/>
        <v>0</v>
      </c>
      <c r="K57" s="69">
        <f t="shared" ca="1" si="5"/>
        <v>0</v>
      </c>
      <c r="L57" s="42">
        <f t="shared" ca="1" si="6"/>
        <v>0</v>
      </c>
      <c r="M57" s="62">
        <f t="shared" si="2"/>
        <v>0</v>
      </c>
      <c r="N57" s="40">
        <f ca="1">AVERAGE(M57:OFFSET(M57,-(O$5-1),0))</f>
        <v>0.4</v>
      </c>
      <c r="O57" s="63">
        <f t="shared" ca="1" si="7"/>
        <v>0</v>
      </c>
      <c r="P57" s="65">
        <f ca="1">AVERAGE(E57:OFFSET(E57,-(Q$5-1),0))</f>
        <v>7003.5</v>
      </c>
      <c r="Q57" s="41">
        <f ca="1">AVERAGE(E57:OFFSET(E57,-(Q$6-1),0))</f>
        <v>7044.7</v>
      </c>
      <c r="R57" s="63">
        <f t="shared" ca="1" si="8"/>
        <v>0</v>
      </c>
      <c r="S57" s="110"/>
      <c r="T57" s="78">
        <v>9</v>
      </c>
      <c r="U57" s="75">
        <v>-3330</v>
      </c>
      <c r="V57" s="1">
        <v>-3305</v>
      </c>
      <c r="W57" s="1">
        <v>-3822</v>
      </c>
      <c r="X57" s="1">
        <v>-3971</v>
      </c>
      <c r="Y57" s="1">
        <v>-3998</v>
      </c>
      <c r="Z57" s="1">
        <v>-4272</v>
      </c>
      <c r="AA57" s="1">
        <v>-4284</v>
      </c>
      <c r="AB57" s="1">
        <v>-4044</v>
      </c>
      <c r="AC57" s="1">
        <v>-3875</v>
      </c>
      <c r="AD57" s="4">
        <v>-3658</v>
      </c>
    </row>
    <row r="58" spans="1:30">
      <c r="A58" s="46">
        <v>20080730</v>
      </c>
      <c r="B58" s="47">
        <v>7070</v>
      </c>
      <c r="C58" s="47">
        <v>7085</v>
      </c>
      <c r="D58" s="47">
        <v>6966</v>
      </c>
      <c r="E58" s="47">
        <v>7022</v>
      </c>
      <c r="F58" s="48">
        <v>66830</v>
      </c>
      <c r="G58" s="57">
        <f t="shared" si="1"/>
        <v>154</v>
      </c>
      <c r="H58" s="57">
        <f t="shared" si="0"/>
        <v>-48</v>
      </c>
      <c r="I58" s="67">
        <f t="shared" ca="1" si="3"/>
        <v>1</v>
      </c>
      <c r="J58" s="68">
        <f t="shared" ca="1" si="4"/>
        <v>0</v>
      </c>
      <c r="K58" s="69">
        <f t="shared" ca="1" si="5"/>
        <v>0</v>
      </c>
      <c r="L58" s="42">
        <f t="shared" ca="1" si="6"/>
        <v>0</v>
      </c>
      <c r="M58" s="62">
        <f t="shared" si="2"/>
        <v>1</v>
      </c>
      <c r="N58" s="40">
        <f ca="1">AVERAGE(M58:OFFSET(M58,-(O$5-1),0))</f>
        <v>0.5</v>
      </c>
      <c r="O58" s="63">
        <f t="shared" ca="1" si="7"/>
        <v>0</v>
      </c>
      <c r="P58" s="65">
        <f ca="1">AVERAGE(E58:OFFSET(E58,-(Q$5-1),0))</f>
        <v>7031.625</v>
      </c>
      <c r="Q58" s="41">
        <f ca="1">AVERAGE(E58:OFFSET(E58,-(Q$6-1),0))</f>
        <v>7031.25</v>
      </c>
      <c r="R58" s="63">
        <f t="shared" ca="1" si="8"/>
        <v>1</v>
      </c>
      <c r="S58" s="110"/>
      <c r="T58" s="78">
        <v>10</v>
      </c>
      <c r="U58" s="75">
        <v>-3530</v>
      </c>
      <c r="V58" s="1">
        <v>-3530</v>
      </c>
      <c r="W58" s="1">
        <v>-3524</v>
      </c>
      <c r="X58" s="1">
        <v>-4072</v>
      </c>
      <c r="Y58" s="1">
        <v>-4190</v>
      </c>
      <c r="Z58" s="1">
        <v>-4034</v>
      </c>
      <c r="AA58" s="1">
        <v>-4063</v>
      </c>
      <c r="AB58" s="1">
        <v>-3893</v>
      </c>
      <c r="AC58" s="1">
        <v>-3791</v>
      </c>
      <c r="AD58" s="4">
        <v>-3713</v>
      </c>
    </row>
    <row r="59" spans="1:30">
      <c r="A59" s="46">
        <v>20080731</v>
      </c>
      <c r="B59" s="47">
        <v>7098</v>
      </c>
      <c r="C59" s="47">
        <v>7147</v>
      </c>
      <c r="D59" s="47">
        <v>6890</v>
      </c>
      <c r="E59" s="47">
        <v>6998</v>
      </c>
      <c r="F59" s="48">
        <v>84650</v>
      </c>
      <c r="G59" s="57">
        <f t="shared" si="1"/>
        <v>76</v>
      </c>
      <c r="H59" s="57">
        <f t="shared" si="0"/>
        <v>-100</v>
      </c>
      <c r="I59" s="67">
        <f t="shared" ca="1" si="3"/>
        <v>0</v>
      </c>
      <c r="J59" s="68">
        <f t="shared" ca="1" si="4"/>
        <v>1</v>
      </c>
      <c r="K59" s="69">
        <f t="shared" ca="1" si="5"/>
        <v>-100</v>
      </c>
      <c r="L59" s="42">
        <f t="shared" ca="1" si="6"/>
        <v>-100</v>
      </c>
      <c r="M59" s="62">
        <f t="shared" si="2"/>
        <v>0</v>
      </c>
      <c r="N59" s="40">
        <f ca="1">AVERAGE(M59:OFFSET(M59,-(O$5-1),0))</f>
        <v>0.5</v>
      </c>
      <c r="O59" s="63">
        <f t="shared" ca="1" si="7"/>
        <v>0</v>
      </c>
      <c r="P59" s="65">
        <f ca="1">AVERAGE(E59:OFFSET(E59,-(Q$5-1),0))</f>
        <v>7071.25</v>
      </c>
      <c r="Q59" s="41">
        <f ca="1">AVERAGE(E59:OFFSET(E59,-(Q$6-1),0))</f>
        <v>7018.9</v>
      </c>
      <c r="R59" s="63">
        <f t="shared" ca="1" si="8"/>
        <v>0</v>
      </c>
      <c r="S59" s="110"/>
      <c r="T59" s="78">
        <v>11</v>
      </c>
      <c r="U59" s="75">
        <v>-4383</v>
      </c>
      <c r="V59" s="1">
        <v>-4251</v>
      </c>
      <c r="W59" s="1">
        <v>-3984</v>
      </c>
      <c r="X59" s="1">
        <v>-4011</v>
      </c>
      <c r="Y59" s="1">
        <v>-3455</v>
      </c>
      <c r="Z59" s="1">
        <v>-3540</v>
      </c>
      <c r="AA59" s="1">
        <v>-3209</v>
      </c>
      <c r="AB59" s="1">
        <v>-3306</v>
      </c>
      <c r="AC59" s="1">
        <v>-3603</v>
      </c>
      <c r="AD59" s="4">
        <v>-3547</v>
      </c>
    </row>
    <row r="60" spans="1:30">
      <c r="A60" s="46">
        <v>20080801</v>
      </c>
      <c r="B60" s="47">
        <v>6901</v>
      </c>
      <c r="C60" s="47">
        <v>6969</v>
      </c>
      <c r="D60" s="47">
        <v>6851</v>
      </c>
      <c r="E60" s="47">
        <v>6914</v>
      </c>
      <c r="F60" s="48">
        <v>66371</v>
      </c>
      <c r="G60" s="57">
        <f t="shared" si="1"/>
        <v>-97</v>
      </c>
      <c r="H60" s="57">
        <f t="shared" si="0"/>
        <v>13</v>
      </c>
      <c r="I60" s="67">
        <f t="shared" ca="1" si="3"/>
        <v>0</v>
      </c>
      <c r="J60" s="68">
        <f t="shared" ca="1" si="4"/>
        <v>1</v>
      </c>
      <c r="K60" s="69">
        <f t="shared" ca="1" si="5"/>
        <v>-84</v>
      </c>
      <c r="L60" s="42">
        <f t="shared" ca="1" si="6"/>
        <v>-184</v>
      </c>
      <c r="M60" s="62">
        <f t="shared" si="2"/>
        <v>0</v>
      </c>
      <c r="N60" s="40">
        <f ca="1">AVERAGE(M60:OFFSET(M60,-(O$5-1),0))</f>
        <v>0.4</v>
      </c>
      <c r="O60" s="63">
        <f t="shared" ca="1" si="7"/>
        <v>0</v>
      </c>
      <c r="P60" s="65">
        <f ca="1">AVERAGE(E60:OFFSET(E60,-(Q$5-1),0))</f>
        <v>7059.625</v>
      </c>
      <c r="Q60" s="41">
        <f ca="1">AVERAGE(E60:OFFSET(E60,-(Q$6-1),0))</f>
        <v>6999.65</v>
      </c>
      <c r="R60" s="63">
        <f t="shared" ca="1" si="8"/>
        <v>0</v>
      </c>
      <c r="S60" s="110"/>
      <c r="T60" s="78">
        <v>12</v>
      </c>
      <c r="U60" s="75">
        <v>-3988</v>
      </c>
      <c r="V60" s="1">
        <v>-4108</v>
      </c>
      <c r="W60" s="1">
        <v>-4276</v>
      </c>
      <c r="X60" s="1">
        <v>-4111</v>
      </c>
      <c r="Y60" s="1">
        <v>-4014</v>
      </c>
      <c r="Z60" s="1">
        <v>-3305</v>
      </c>
      <c r="AA60" s="1">
        <v>-3286</v>
      </c>
      <c r="AB60" s="1">
        <v>-3648</v>
      </c>
      <c r="AC60" s="1">
        <v>-3674</v>
      </c>
      <c r="AD60" s="4">
        <v>-3814</v>
      </c>
    </row>
    <row r="61" spans="1:30">
      <c r="A61" s="46">
        <v>20080804</v>
      </c>
      <c r="B61" s="47">
        <v>6852</v>
      </c>
      <c r="C61" s="47">
        <v>6964</v>
      </c>
      <c r="D61" s="47">
        <v>6850</v>
      </c>
      <c r="E61" s="47">
        <v>6934</v>
      </c>
      <c r="F61" s="48">
        <v>53142</v>
      </c>
      <c r="G61" s="57">
        <f t="shared" si="1"/>
        <v>-62</v>
      </c>
      <c r="H61" s="57">
        <f t="shared" si="0"/>
        <v>82</v>
      </c>
      <c r="I61" s="67">
        <f t="shared" ca="1" si="3"/>
        <v>0</v>
      </c>
      <c r="J61" s="68">
        <f t="shared" ca="1" si="4"/>
        <v>1</v>
      </c>
      <c r="K61" s="69">
        <f t="shared" ca="1" si="5"/>
        <v>20</v>
      </c>
      <c r="L61" s="42">
        <f t="shared" ca="1" si="6"/>
        <v>-164</v>
      </c>
      <c r="M61" s="62">
        <f t="shared" si="2"/>
        <v>1</v>
      </c>
      <c r="N61" s="40">
        <f ca="1">AVERAGE(M61:OFFSET(M61,-(O$5-1),0))</f>
        <v>0.5</v>
      </c>
      <c r="O61" s="63">
        <f t="shared" ca="1" si="7"/>
        <v>0</v>
      </c>
      <c r="P61" s="65">
        <f ca="1">AVERAGE(E61:OFFSET(E61,-(Q$5-1),0))</f>
        <v>7055.5</v>
      </c>
      <c r="Q61" s="41">
        <f ca="1">AVERAGE(E61:OFFSET(E61,-(Q$6-1),0))</f>
        <v>6991.35</v>
      </c>
      <c r="R61" s="63">
        <f t="shared" ca="1" si="8"/>
        <v>0</v>
      </c>
      <c r="S61" s="110"/>
      <c r="T61" s="78">
        <v>13</v>
      </c>
      <c r="U61" s="75">
        <v>-3904</v>
      </c>
      <c r="V61" s="1">
        <v>-4182</v>
      </c>
      <c r="W61" s="1">
        <v>-4586</v>
      </c>
      <c r="X61" s="1">
        <v>-4420</v>
      </c>
      <c r="Y61" s="1">
        <v>-4163</v>
      </c>
      <c r="Z61" s="1">
        <v>-3631</v>
      </c>
      <c r="AA61" s="1">
        <v>-3441</v>
      </c>
      <c r="AB61" s="1">
        <v>-3872</v>
      </c>
      <c r="AC61" s="1">
        <v>-3861</v>
      </c>
      <c r="AD61" s="4">
        <v>-4120</v>
      </c>
    </row>
    <row r="62" spans="1:30">
      <c r="A62" s="46">
        <v>20080805</v>
      </c>
      <c r="B62" s="47">
        <v>6973</v>
      </c>
      <c r="C62" s="47">
        <v>6993</v>
      </c>
      <c r="D62" s="47">
        <v>6756</v>
      </c>
      <c r="E62" s="47">
        <v>6778</v>
      </c>
      <c r="F62" s="48">
        <v>81580</v>
      </c>
      <c r="G62" s="57">
        <f t="shared" si="1"/>
        <v>39</v>
      </c>
      <c r="H62" s="57">
        <f t="shared" si="0"/>
        <v>-195</v>
      </c>
      <c r="I62" s="67">
        <f t="shared" ca="1" si="3"/>
        <v>0</v>
      </c>
      <c r="J62" s="68">
        <f t="shared" ca="1" si="4"/>
        <v>1</v>
      </c>
      <c r="K62" s="69">
        <f t="shared" ca="1" si="5"/>
        <v>-156</v>
      </c>
      <c r="L62" s="42">
        <f t="shared" ca="1" si="6"/>
        <v>-320</v>
      </c>
      <c r="M62" s="62">
        <f t="shared" si="2"/>
        <v>0</v>
      </c>
      <c r="N62" s="40">
        <f ca="1">AVERAGE(M62:OFFSET(M62,-(O$5-1),0))</f>
        <v>0.4</v>
      </c>
      <c r="O62" s="63">
        <f t="shared" ca="1" si="7"/>
        <v>0</v>
      </c>
      <c r="P62" s="65">
        <f ca="1">AVERAGE(E62:OFFSET(E62,-(Q$5-1),0))</f>
        <v>7004.5</v>
      </c>
      <c r="Q62" s="41">
        <f ca="1">AVERAGE(E62:OFFSET(E62,-(Q$6-1),0))</f>
        <v>6967.35</v>
      </c>
      <c r="R62" s="63">
        <f t="shared" ca="1" si="8"/>
        <v>0</v>
      </c>
      <c r="S62" s="110"/>
      <c r="T62" s="78">
        <v>14</v>
      </c>
      <c r="U62" s="75">
        <v>-4160</v>
      </c>
      <c r="V62" s="1">
        <v>-4171</v>
      </c>
      <c r="W62" s="1">
        <v>-4168</v>
      </c>
      <c r="X62" s="1">
        <v>-3929</v>
      </c>
      <c r="Y62" s="1">
        <v>-4198</v>
      </c>
      <c r="Z62" s="1">
        <v>-4629</v>
      </c>
      <c r="AA62" s="1">
        <v>-4051</v>
      </c>
      <c r="AB62" s="1">
        <v>-4051</v>
      </c>
      <c r="AC62" s="1">
        <v>-4254</v>
      </c>
      <c r="AD62" s="4">
        <v>-4242</v>
      </c>
    </row>
    <row r="63" spans="1:30">
      <c r="A63" s="46">
        <v>20080806</v>
      </c>
      <c r="B63" s="47">
        <v>6970</v>
      </c>
      <c r="C63" s="47">
        <v>7030</v>
      </c>
      <c r="D63" s="47">
        <v>6910</v>
      </c>
      <c r="E63" s="47">
        <v>7017</v>
      </c>
      <c r="F63" s="48">
        <v>63636</v>
      </c>
      <c r="G63" s="57">
        <f t="shared" si="1"/>
        <v>192</v>
      </c>
      <c r="H63" s="57">
        <f t="shared" si="0"/>
        <v>47</v>
      </c>
      <c r="I63" s="67">
        <f t="shared" ca="1" si="3"/>
        <v>-1</v>
      </c>
      <c r="J63" s="68">
        <f t="shared" ca="1" si="4"/>
        <v>1</v>
      </c>
      <c r="K63" s="69">
        <f t="shared" ca="1" si="5"/>
        <v>239</v>
      </c>
      <c r="L63" s="42">
        <f t="shared" ca="1" si="6"/>
        <v>-81</v>
      </c>
      <c r="M63" s="62">
        <f t="shared" si="2"/>
        <v>1</v>
      </c>
      <c r="N63" s="40">
        <f ca="1">AVERAGE(M63:OFFSET(M63,-(O$5-1),0))</f>
        <v>0.5</v>
      </c>
      <c r="O63" s="63">
        <f t="shared" ca="1" si="7"/>
        <v>0</v>
      </c>
      <c r="P63" s="65">
        <f ca="1">AVERAGE(E63:OFFSET(E63,-(Q$5-1),0))</f>
        <v>6968.625</v>
      </c>
      <c r="Q63" s="41">
        <f ca="1">AVERAGE(E63:OFFSET(E63,-(Q$6-1),0))</f>
        <v>6968.8</v>
      </c>
      <c r="R63" s="63">
        <f t="shared" ca="1" si="8"/>
        <v>-1</v>
      </c>
      <c r="S63" s="110"/>
      <c r="T63" s="78">
        <v>15</v>
      </c>
      <c r="U63" s="75">
        <v>-3805</v>
      </c>
      <c r="V63" s="1">
        <v>-3991</v>
      </c>
      <c r="W63" s="1">
        <v>-3883</v>
      </c>
      <c r="X63" s="1">
        <v>-4516</v>
      </c>
      <c r="Y63" s="1">
        <v>-4504</v>
      </c>
      <c r="Z63" s="1">
        <v>-4696</v>
      </c>
      <c r="AA63" s="1">
        <v>-4147</v>
      </c>
      <c r="AB63" s="1">
        <v>-4242</v>
      </c>
      <c r="AC63" s="1">
        <v>-4242</v>
      </c>
      <c r="AD63" s="4">
        <v>-4242</v>
      </c>
    </row>
    <row r="64" spans="1:30">
      <c r="A64" s="46">
        <v>20080807</v>
      </c>
      <c r="B64" s="47">
        <v>7002</v>
      </c>
      <c r="C64" s="47">
        <v>7055</v>
      </c>
      <c r="D64" s="47">
        <v>6960</v>
      </c>
      <c r="E64" s="47">
        <v>7006</v>
      </c>
      <c r="F64" s="48">
        <v>64790</v>
      </c>
      <c r="G64" s="57">
        <f t="shared" si="1"/>
        <v>-15</v>
      </c>
      <c r="H64" s="57">
        <f t="shared" si="0"/>
        <v>4</v>
      </c>
      <c r="I64" s="67">
        <f t="shared" ca="1" si="3"/>
        <v>0</v>
      </c>
      <c r="J64" s="68">
        <f t="shared" ca="1" si="4"/>
        <v>0</v>
      </c>
      <c r="K64" s="69">
        <f t="shared" ca="1" si="5"/>
        <v>-15</v>
      </c>
      <c r="L64" s="42">
        <f t="shared" ca="1" si="6"/>
        <v>-96</v>
      </c>
      <c r="M64" s="62">
        <f t="shared" si="2"/>
        <v>0</v>
      </c>
      <c r="N64" s="40">
        <f ca="1">AVERAGE(M64:OFFSET(M64,-(O$5-1),0))</f>
        <v>0.4</v>
      </c>
      <c r="O64" s="63">
        <f t="shared" ca="1" si="7"/>
        <v>0</v>
      </c>
      <c r="P64" s="65">
        <f ca="1">AVERAGE(E64:OFFSET(E64,-(Q$5-1),0))</f>
        <v>6948.125</v>
      </c>
      <c r="Q64" s="41">
        <f ca="1">AVERAGE(E64:OFFSET(E64,-(Q$6-1),0))</f>
        <v>6968.55</v>
      </c>
      <c r="R64" s="63">
        <f t="shared" ca="1" si="8"/>
        <v>0</v>
      </c>
      <c r="S64" s="110"/>
      <c r="T64" s="78">
        <v>16</v>
      </c>
      <c r="U64" s="75">
        <v>-4353</v>
      </c>
      <c r="V64" s="1">
        <v>-4256</v>
      </c>
      <c r="W64" s="1">
        <v>-4387</v>
      </c>
      <c r="X64" s="1">
        <v>-4543</v>
      </c>
      <c r="Y64" s="1">
        <v>-4528</v>
      </c>
      <c r="Z64" s="1">
        <v>-4931</v>
      </c>
      <c r="AA64" s="1">
        <v>-4539</v>
      </c>
      <c r="AB64" s="1">
        <v>-4471</v>
      </c>
      <c r="AC64" s="1">
        <v>-3886</v>
      </c>
      <c r="AD64" s="4">
        <v>-3906</v>
      </c>
    </row>
    <row r="65" spans="1:30">
      <c r="A65" s="46">
        <v>20080808</v>
      </c>
      <c r="B65" s="47">
        <v>6941</v>
      </c>
      <c r="C65" s="47">
        <v>7234</v>
      </c>
      <c r="D65" s="47">
        <v>6936</v>
      </c>
      <c r="E65" s="47">
        <v>7189</v>
      </c>
      <c r="F65" s="48">
        <v>87490</v>
      </c>
      <c r="G65" s="57">
        <f t="shared" si="1"/>
        <v>-65</v>
      </c>
      <c r="H65" s="57">
        <f t="shared" si="0"/>
        <v>248</v>
      </c>
      <c r="I65" s="67">
        <f t="shared" ca="1" si="3"/>
        <v>1</v>
      </c>
      <c r="J65" s="68">
        <f t="shared" ca="1" si="4"/>
        <v>0</v>
      </c>
      <c r="K65" s="69">
        <f t="shared" ca="1" si="5"/>
        <v>0</v>
      </c>
      <c r="L65" s="42">
        <f t="shared" ca="1" si="6"/>
        <v>-96</v>
      </c>
      <c r="M65" s="62">
        <f t="shared" si="2"/>
        <v>1</v>
      </c>
      <c r="N65" s="40">
        <f ca="1">AVERAGE(M65:OFFSET(M65,-(O$5-1),0))</f>
        <v>0.4</v>
      </c>
      <c r="O65" s="63">
        <f t="shared" ca="1" si="7"/>
        <v>0</v>
      </c>
      <c r="P65" s="65">
        <f ca="1">AVERAGE(E65:OFFSET(E65,-(Q$5-1),0))</f>
        <v>6982.25</v>
      </c>
      <c r="Q65" s="41">
        <f ca="1">AVERAGE(E65:OFFSET(E65,-(Q$6-1),0))</f>
        <v>6977.5</v>
      </c>
      <c r="R65" s="63">
        <f t="shared" ca="1" si="8"/>
        <v>1</v>
      </c>
      <c r="S65" s="110"/>
      <c r="T65" s="78">
        <v>17</v>
      </c>
      <c r="U65" s="75">
        <v>-4642</v>
      </c>
      <c r="V65" s="1">
        <v>-4801</v>
      </c>
      <c r="W65" s="1">
        <v>-4681</v>
      </c>
      <c r="X65" s="1">
        <v>-4234</v>
      </c>
      <c r="Y65" s="1">
        <v>-4693</v>
      </c>
      <c r="Z65" s="1">
        <v>-4852</v>
      </c>
      <c r="AA65" s="1">
        <v>-4471</v>
      </c>
      <c r="AB65" s="1">
        <v>-4059</v>
      </c>
      <c r="AC65" s="1">
        <v>-4059</v>
      </c>
      <c r="AD65" s="4">
        <v>-4054</v>
      </c>
    </row>
    <row r="66" spans="1:30">
      <c r="A66" s="46">
        <v>20080811</v>
      </c>
      <c r="B66" s="47">
        <v>7268</v>
      </c>
      <c r="C66" s="47">
        <v>7339</v>
      </c>
      <c r="D66" s="47">
        <v>7250</v>
      </c>
      <c r="E66" s="47">
        <v>7289</v>
      </c>
      <c r="F66" s="48">
        <v>59555</v>
      </c>
      <c r="G66" s="57">
        <f t="shared" si="1"/>
        <v>79</v>
      </c>
      <c r="H66" s="57">
        <f t="shared" si="0"/>
        <v>21</v>
      </c>
      <c r="I66" s="67">
        <f t="shared" ca="1" si="3"/>
        <v>0</v>
      </c>
      <c r="J66" s="68">
        <f t="shared" ca="1" si="4"/>
        <v>1</v>
      </c>
      <c r="K66" s="69">
        <f t="shared" ca="1" si="5"/>
        <v>21</v>
      </c>
      <c r="L66" s="42">
        <f t="shared" ca="1" si="6"/>
        <v>-75</v>
      </c>
      <c r="M66" s="62">
        <f t="shared" si="2"/>
        <v>1</v>
      </c>
      <c r="N66" s="40">
        <f ca="1">AVERAGE(M66:OFFSET(M66,-(O$5-1),0))</f>
        <v>0.5</v>
      </c>
      <c r="O66" s="63">
        <f t="shared" ca="1" si="7"/>
        <v>0</v>
      </c>
      <c r="P66" s="65">
        <f ca="1">AVERAGE(E66:OFFSET(E66,-(Q$5-1),0))</f>
        <v>7015.625</v>
      </c>
      <c r="Q66" s="41">
        <f ca="1">AVERAGE(E66:OFFSET(E66,-(Q$6-1),0))</f>
        <v>6982.9</v>
      </c>
      <c r="R66" s="63">
        <f t="shared" ca="1" si="8"/>
        <v>0</v>
      </c>
      <c r="S66" s="110"/>
      <c r="T66" s="78">
        <v>18</v>
      </c>
      <c r="U66" s="75">
        <v>-4674</v>
      </c>
      <c r="V66" s="1">
        <v>-4248</v>
      </c>
      <c r="W66" s="1">
        <v>-4595</v>
      </c>
      <c r="X66" s="1">
        <v>-4858</v>
      </c>
      <c r="Y66" s="1">
        <v>-4615</v>
      </c>
      <c r="Z66" s="1">
        <v>-5193</v>
      </c>
      <c r="AA66" s="1">
        <v>-4876</v>
      </c>
      <c r="AB66" s="1">
        <v>-4385</v>
      </c>
      <c r="AC66" s="1">
        <v>-4379</v>
      </c>
      <c r="AD66" s="4">
        <v>-4085</v>
      </c>
    </row>
    <row r="67" spans="1:30" ht="17.25" thickBot="1">
      <c r="A67" s="46">
        <v>20080812</v>
      </c>
      <c r="B67" s="47">
        <v>7288</v>
      </c>
      <c r="C67" s="47">
        <v>7333</v>
      </c>
      <c r="D67" s="47">
        <v>7255</v>
      </c>
      <c r="E67" s="47">
        <v>7270</v>
      </c>
      <c r="F67" s="48">
        <v>56263</v>
      </c>
      <c r="G67" s="57">
        <f t="shared" si="1"/>
        <v>-1</v>
      </c>
      <c r="H67" s="57">
        <f t="shared" si="0"/>
        <v>-18</v>
      </c>
      <c r="I67" s="67">
        <f t="shared" ca="1" si="3"/>
        <v>0</v>
      </c>
      <c r="J67" s="68">
        <f t="shared" ca="1" si="4"/>
        <v>1</v>
      </c>
      <c r="K67" s="69">
        <f t="shared" ca="1" si="5"/>
        <v>-19</v>
      </c>
      <c r="L67" s="42">
        <f t="shared" ca="1" si="6"/>
        <v>-94</v>
      </c>
      <c r="M67" s="62">
        <f t="shared" si="2"/>
        <v>0</v>
      </c>
      <c r="N67" s="40">
        <f ca="1">AVERAGE(M67:OFFSET(M67,-(O$5-1),0))</f>
        <v>0.5</v>
      </c>
      <c r="O67" s="63">
        <f t="shared" ca="1" si="7"/>
        <v>0</v>
      </c>
      <c r="P67" s="65">
        <f ca="1">AVERAGE(E67:OFFSET(E67,-(Q$5-1),0))</f>
        <v>7049.625</v>
      </c>
      <c r="Q67" s="41">
        <f ca="1">AVERAGE(E67:OFFSET(E67,-(Q$6-1),0))</f>
        <v>6988.8</v>
      </c>
      <c r="R67" s="63">
        <f t="shared" ca="1" si="8"/>
        <v>0</v>
      </c>
      <c r="S67" s="111"/>
      <c r="T67" s="79">
        <v>19</v>
      </c>
      <c r="U67" s="76">
        <v>-4863</v>
      </c>
      <c r="V67" s="3">
        <v>-4649</v>
      </c>
      <c r="W67" s="3">
        <v>-4812</v>
      </c>
      <c r="X67" s="3">
        <v>-4728</v>
      </c>
      <c r="Y67" s="3">
        <v>-4923</v>
      </c>
      <c r="Z67" s="3">
        <v>-4494</v>
      </c>
      <c r="AA67" s="3">
        <v>-4445</v>
      </c>
      <c r="AB67" s="3">
        <v>-4526</v>
      </c>
      <c r="AC67" s="3">
        <v>-4159</v>
      </c>
      <c r="AD67" s="5">
        <v>-4674</v>
      </c>
    </row>
    <row r="68" spans="1:30">
      <c r="A68" s="46">
        <v>20080813</v>
      </c>
      <c r="B68" s="47">
        <v>7258</v>
      </c>
      <c r="C68" s="47">
        <v>7308</v>
      </c>
      <c r="D68" s="47">
        <v>7190</v>
      </c>
      <c r="E68" s="47">
        <v>7299</v>
      </c>
      <c r="F68" s="48">
        <v>73840</v>
      </c>
      <c r="G68" s="57">
        <f t="shared" si="1"/>
        <v>-12</v>
      </c>
      <c r="H68" s="57">
        <f t="shared" ref="H68:H131" si="9">E68-B68</f>
        <v>41</v>
      </c>
      <c r="I68" s="67">
        <f t="shared" ca="1" si="3"/>
        <v>0</v>
      </c>
      <c r="J68" s="68">
        <f t="shared" ca="1" si="4"/>
        <v>1</v>
      </c>
      <c r="K68" s="69">
        <f t="shared" ca="1" si="5"/>
        <v>29</v>
      </c>
      <c r="L68" s="42">
        <f t="shared" ca="1" si="6"/>
        <v>-65</v>
      </c>
      <c r="M68" s="62">
        <f t="shared" si="2"/>
        <v>1</v>
      </c>
      <c r="N68" s="40">
        <f ca="1">AVERAGE(M68:OFFSET(M68,-(O$5-1),0))</f>
        <v>0.5</v>
      </c>
      <c r="O68" s="63">
        <f t="shared" ca="1" si="7"/>
        <v>0</v>
      </c>
      <c r="P68" s="65">
        <f ca="1">AVERAGE(E68:OFFSET(E68,-(Q$5-1),0))</f>
        <v>7097.75</v>
      </c>
      <c r="Q68" s="41">
        <f ca="1">AVERAGE(E68:OFFSET(E68,-(Q$6-1),0))</f>
        <v>7014.25</v>
      </c>
      <c r="R68" s="63">
        <f t="shared" ca="1" si="8"/>
        <v>0</v>
      </c>
      <c r="S68" s="88" t="s">
        <v>33</v>
      </c>
      <c r="T68" s="73">
        <v>-3209</v>
      </c>
    </row>
    <row r="69" spans="1:30">
      <c r="A69" s="46">
        <v>20080814</v>
      </c>
      <c r="B69" s="47">
        <v>7280</v>
      </c>
      <c r="C69" s="47">
        <v>7364</v>
      </c>
      <c r="D69" s="47">
        <v>7230</v>
      </c>
      <c r="E69" s="47">
        <v>7363</v>
      </c>
      <c r="F69" s="48">
        <v>64327</v>
      </c>
      <c r="G69" s="57">
        <f t="shared" ref="G69:G132" si="10">B69-E68</f>
        <v>-19</v>
      </c>
      <c r="H69" s="57">
        <f t="shared" si="9"/>
        <v>83</v>
      </c>
      <c r="I69" s="67">
        <f t="shared" ca="1" si="3"/>
        <v>-1</v>
      </c>
      <c r="J69" s="68">
        <f t="shared" ca="1" si="4"/>
        <v>1</v>
      </c>
      <c r="K69" s="69">
        <f t="shared" ca="1" si="5"/>
        <v>64</v>
      </c>
      <c r="L69" s="42">
        <f t="shared" ca="1" si="6"/>
        <v>-1</v>
      </c>
      <c r="M69" s="62">
        <f t="shared" ref="M69:M132" si="11">IF(E69&gt;E68,1,0)</f>
        <v>1</v>
      </c>
      <c r="N69" s="40">
        <f ca="1">AVERAGE(M69:OFFSET(M69,-(O$5-1),0))</f>
        <v>0.6</v>
      </c>
      <c r="O69" s="63">
        <f t="shared" ca="1" si="7"/>
        <v>-1</v>
      </c>
      <c r="P69" s="65">
        <f ca="1">AVERAGE(E69:OFFSET(E69,-(Q$5-1),0))</f>
        <v>7151.375</v>
      </c>
      <c r="Q69" s="41">
        <f ca="1">AVERAGE(E69:OFFSET(E69,-(Q$6-1),0))</f>
        <v>7055.35</v>
      </c>
      <c r="R69" s="63">
        <f t="shared" ca="1" si="8"/>
        <v>0</v>
      </c>
      <c r="S69" s="89" t="s">
        <v>34</v>
      </c>
      <c r="T69" s="4">
        <v>11</v>
      </c>
    </row>
    <row r="70" spans="1:30" ht="17.25" thickBot="1">
      <c r="A70" s="46">
        <v>20080815</v>
      </c>
      <c r="B70" s="47">
        <v>7362</v>
      </c>
      <c r="C70" s="47">
        <v>7382</v>
      </c>
      <c r="D70" s="47">
        <v>7155</v>
      </c>
      <c r="E70" s="47">
        <v>7216</v>
      </c>
      <c r="F70" s="48">
        <v>73450</v>
      </c>
      <c r="G70" s="57">
        <f t="shared" si="10"/>
        <v>-1</v>
      </c>
      <c r="H70" s="57">
        <f t="shared" si="9"/>
        <v>-146</v>
      </c>
      <c r="I70" s="67">
        <f t="shared" ca="1" si="3"/>
        <v>-1</v>
      </c>
      <c r="J70" s="68">
        <f t="shared" ca="1" si="4"/>
        <v>0</v>
      </c>
      <c r="K70" s="69">
        <f t="shared" ca="1" si="5"/>
        <v>-1</v>
      </c>
      <c r="L70" s="42">
        <f t="shared" ca="1" si="6"/>
        <v>-2</v>
      </c>
      <c r="M70" s="62">
        <f t="shared" si="11"/>
        <v>0</v>
      </c>
      <c r="N70" s="40">
        <f ca="1">AVERAGE(M70:OFFSET(M70,-(O$5-1),0))</f>
        <v>0.6</v>
      </c>
      <c r="O70" s="63">
        <f t="shared" ca="1" si="7"/>
        <v>-1</v>
      </c>
      <c r="P70" s="65">
        <f ca="1">AVERAGE(E70:OFFSET(E70,-(Q$5-1),0))</f>
        <v>7206.125</v>
      </c>
      <c r="Q70" s="41">
        <f ca="1">AVERAGE(E70:OFFSET(E70,-(Q$6-1),0))</f>
        <v>7076.3</v>
      </c>
      <c r="R70" s="63">
        <f t="shared" ca="1" si="8"/>
        <v>0</v>
      </c>
      <c r="S70" s="90" t="s">
        <v>35</v>
      </c>
      <c r="T70" s="5">
        <v>26</v>
      </c>
    </row>
    <row r="71" spans="1:30">
      <c r="A71" s="46">
        <v>20080818</v>
      </c>
      <c r="B71" s="47">
        <v>7180</v>
      </c>
      <c r="C71" s="47">
        <v>7222</v>
      </c>
      <c r="D71" s="47">
        <v>6956</v>
      </c>
      <c r="E71" s="47">
        <v>6980</v>
      </c>
      <c r="F71" s="48">
        <v>76947</v>
      </c>
      <c r="G71" s="57">
        <f t="shared" si="10"/>
        <v>-36</v>
      </c>
      <c r="H71" s="57">
        <f t="shared" si="9"/>
        <v>-200</v>
      </c>
      <c r="I71" s="67">
        <f t="shared" ca="1" si="3"/>
        <v>0</v>
      </c>
      <c r="J71" s="68">
        <f t="shared" ca="1" si="4"/>
        <v>-1</v>
      </c>
      <c r="K71" s="69">
        <f t="shared" ca="1" si="5"/>
        <v>200</v>
      </c>
      <c r="L71" s="42">
        <f t="shared" ca="1" si="6"/>
        <v>198</v>
      </c>
      <c r="M71" s="62">
        <f t="shared" si="11"/>
        <v>0</v>
      </c>
      <c r="N71" s="40">
        <f ca="1">AVERAGE(M71:OFFSET(M71,-(O$5-1),0))</f>
        <v>0.5</v>
      </c>
      <c r="O71" s="63">
        <f t="shared" ca="1" si="7"/>
        <v>0</v>
      </c>
      <c r="P71" s="65">
        <f ca="1">AVERAGE(E71:OFFSET(E71,-(Q$5-1),0))</f>
        <v>7201.5</v>
      </c>
      <c r="Q71" s="41">
        <f ca="1">AVERAGE(E71:OFFSET(E71,-(Q$6-1),0))</f>
        <v>7091.25</v>
      </c>
      <c r="R71" s="63">
        <f t="shared" ca="1" si="8"/>
        <v>0</v>
      </c>
    </row>
    <row r="72" spans="1:30">
      <c r="A72" s="46">
        <v>20080819</v>
      </c>
      <c r="B72" s="47">
        <v>6856</v>
      </c>
      <c r="C72" s="47">
        <v>6978</v>
      </c>
      <c r="D72" s="47">
        <v>6813</v>
      </c>
      <c r="E72" s="47">
        <v>6936</v>
      </c>
      <c r="F72" s="48">
        <v>70745</v>
      </c>
      <c r="G72" s="57">
        <f t="shared" si="10"/>
        <v>-124</v>
      </c>
      <c r="H72" s="57">
        <f t="shared" si="9"/>
        <v>80</v>
      </c>
      <c r="I72" s="67">
        <f t="shared" ca="1" si="3"/>
        <v>0</v>
      </c>
      <c r="J72" s="68">
        <f t="shared" ca="1" si="4"/>
        <v>-1</v>
      </c>
      <c r="K72" s="69">
        <f t="shared" ca="1" si="5"/>
        <v>44</v>
      </c>
      <c r="L72" s="42">
        <f t="shared" ca="1" si="6"/>
        <v>242</v>
      </c>
      <c r="M72" s="62">
        <f t="shared" si="11"/>
        <v>0</v>
      </c>
      <c r="N72" s="40">
        <f ca="1">AVERAGE(M72:OFFSET(M72,-(O$5-1),0))</f>
        <v>0.5</v>
      </c>
      <c r="O72" s="63">
        <f t="shared" ca="1" si="7"/>
        <v>0</v>
      </c>
      <c r="P72" s="65">
        <f ca="1">AVERAGE(E72:OFFSET(E72,-(Q$5-1),0))</f>
        <v>7192.75</v>
      </c>
      <c r="Q72" s="41">
        <f ca="1">AVERAGE(E72:OFFSET(E72,-(Q$6-1),0))</f>
        <v>7087.7</v>
      </c>
      <c r="R72" s="63">
        <f t="shared" ca="1" si="8"/>
        <v>0</v>
      </c>
    </row>
    <row r="73" spans="1:30">
      <c r="A73" s="46">
        <v>20080820</v>
      </c>
      <c r="B73" s="47">
        <v>6891</v>
      </c>
      <c r="C73" s="47">
        <v>6994</v>
      </c>
      <c r="D73" s="47">
        <v>6825</v>
      </c>
      <c r="E73" s="47">
        <v>6979</v>
      </c>
      <c r="F73" s="48">
        <v>44632</v>
      </c>
      <c r="G73" s="57">
        <f t="shared" si="10"/>
        <v>-45</v>
      </c>
      <c r="H73" s="57">
        <f t="shared" si="9"/>
        <v>88</v>
      </c>
      <c r="I73" s="67">
        <f t="shared" ca="1" si="3"/>
        <v>0</v>
      </c>
      <c r="J73" s="68">
        <f t="shared" ca="1" si="4"/>
        <v>-1</v>
      </c>
      <c r="K73" s="69">
        <f t="shared" ca="1" si="5"/>
        <v>-43</v>
      </c>
      <c r="L73" s="42">
        <f t="shared" ca="1" si="6"/>
        <v>199</v>
      </c>
      <c r="M73" s="62">
        <f t="shared" si="11"/>
        <v>1</v>
      </c>
      <c r="N73" s="40">
        <f ca="1">AVERAGE(M73:OFFSET(M73,-(O$5-1),0))</f>
        <v>0.5</v>
      </c>
      <c r="O73" s="63">
        <f t="shared" ca="1" si="7"/>
        <v>0</v>
      </c>
      <c r="P73" s="65">
        <f ca="1">AVERAGE(E73:OFFSET(E73,-(Q$5-1),0))</f>
        <v>7166.5</v>
      </c>
      <c r="Q73" s="41">
        <f ca="1">AVERAGE(E73:OFFSET(E73,-(Q$6-1),0))</f>
        <v>7088.3</v>
      </c>
      <c r="R73" s="63">
        <f t="shared" ca="1" si="8"/>
        <v>0</v>
      </c>
    </row>
    <row r="74" spans="1:30">
      <c r="A74" s="46">
        <v>20080821</v>
      </c>
      <c r="B74" s="47">
        <v>6938</v>
      </c>
      <c r="C74" s="47">
        <v>6958</v>
      </c>
      <c r="D74" s="47">
        <v>6855</v>
      </c>
      <c r="E74" s="47">
        <v>6878</v>
      </c>
      <c r="F74" s="48">
        <v>62072</v>
      </c>
      <c r="G74" s="57">
        <f t="shared" si="10"/>
        <v>-41</v>
      </c>
      <c r="H74" s="57">
        <f t="shared" si="9"/>
        <v>-60</v>
      </c>
      <c r="I74" s="67">
        <f t="shared" ca="1" si="3"/>
        <v>0</v>
      </c>
      <c r="J74" s="68">
        <f t="shared" ca="1" si="4"/>
        <v>-1</v>
      </c>
      <c r="K74" s="69">
        <f t="shared" ca="1" si="5"/>
        <v>101</v>
      </c>
      <c r="L74" s="42">
        <f t="shared" ca="1" si="6"/>
        <v>300</v>
      </c>
      <c r="M74" s="62">
        <f t="shared" si="11"/>
        <v>0</v>
      </c>
      <c r="N74" s="40">
        <f ca="1">AVERAGE(M74:OFFSET(M74,-(O$5-1),0))</f>
        <v>0.5</v>
      </c>
      <c r="O74" s="63">
        <f t="shared" ca="1" si="7"/>
        <v>0</v>
      </c>
      <c r="P74" s="65">
        <f ca="1">AVERAGE(E74:OFFSET(E74,-(Q$5-1),0))</f>
        <v>7115.125</v>
      </c>
      <c r="Q74" s="41">
        <f ca="1">AVERAGE(E74:OFFSET(E74,-(Q$6-1),0))</f>
        <v>7072.9</v>
      </c>
      <c r="R74" s="63">
        <f t="shared" ca="1" si="8"/>
        <v>0</v>
      </c>
    </row>
    <row r="75" spans="1:30">
      <c r="A75" s="46">
        <v>20080822</v>
      </c>
      <c r="B75" s="47">
        <v>6845</v>
      </c>
      <c r="C75" s="47">
        <v>6975</v>
      </c>
      <c r="D75" s="47">
        <v>6766</v>
      </c>
      <c r="E75" s="47">
        <v>6865</v>
      </c>
      <c r="F75" s="48">
        <v>85586</v>
      </c>
      <c r="G75" s="57">
        <f t="shared" si="10"/>
        <v>-33</v>
      </c>
      <c r="H75" s="57">
        <f t="shared" si="9"/>
        <v>20</v>
      </c>
      <c r="I75" s="67">
        <f t="shared" ca="1" si="3"/>
        <v>0</v>
      </c>
      <c r="J75" s="68">
        <f t="shared" ca="1" si="4"/>
        <v>-1</v>
      </c>
      <c r="K75" s="69">
        <f t="shared" ca="1" si="5"/>
        <v>13</v>
      </c>
      <c r="L75" s="42">
        <f t="shared" ca="1" si="6"/>
        <v>313</v>
      </c>
      <c r="M75" s="62">
        <f t="shared" si="11"/>
        <v>0</v>
      </c>
      <c r="N75" s="40">
        <f ca="1">AVERAGE(M75:OFFSET(M75,-(O$5-1),0))</f>
        <v>0.4</v>
      </c>
      <c r="O75" s="63">
        <f t="shared" ca="1" si="7"/>
        <v>0</v>
      </c>
      <c r="P75" s="65">
        <f ca="1">AVERAGE(E75:OFFSET(E75,-(Q$5-1),0))</f>
        <v>7064.5</v>
      </c>
      <c r="Q75" s="41">
        <f ca="1">AVERAGE(E75:OFFSET(E75,-(Q$6-1),0))</f>
        <v>7050.95</v>
      </c>
      <c r="R75" s="63">
        <f t="shared" ca="1" si="8"/>
        <v>0</v>
      </c>
    </row>
    <row r="76" spans="1:30">
      <c r="A76" s="46">
        <v>20080825</v>
      </c>
      <c r="B76" s="47">
        <v>6956</v>
      </c>
      <c r="C76" s="47">
        <v>7037</v>
      </c>
      <c r="D76" s="47">
        <v>6896</v>
      </c>
      <c r="E76" s="47">
        <v>6988</v>
      </c>
      <c r="F76" s="48">
        <v>58897</v>
      </c>
      <c r="G76" s="57">
        <f t="shared" si="10"/>
        <v>91</v>
      </c>
      <c r="H76" s="57">
        <f t="shared" si="9"/>
        <v>32</v>
      </c>
      <c r="I76" s="67">
        <f t="shared" ca="1" si="3"/>
        <v>-1</v>
      </c>
      <c r="J76" s="68">
        <f t="shared" ca="1" si="4"/>
        <v>-1</v>
      </c>
      <c r="K76" s="69">
        <f t="shared" ca="1" si="5"/>
        <v>-123</v>
      </c>
      <c r="L76" s="42">
        <f t="shared" ca="1" si="6"/>
        <v>190</v>
      </c>
      <c r="M76" s="62">
        <f t="shared" si="11"/>
        <v>1</v>
      </c>
      <c r="N76" s="40">
        <f ca="1">AVERAGE(M76:OFFSET(M76,-(O$5-1),0))</f>
        <v>0.4</v>
      </c>
      <c r="O76" s="63">
        <f t="shared" ca="1" si="7"/>
        <v>0</v>
      </c>
      <c r="P76" s="65">
        <f ca="1">AVERAGE(E76:OFFSET(E76,-(Q$5-1),0))</f>
        <v>7025.625</v>
      </c>
      <c r="Q76" s="41">
        <f ca="1">AVERAGE(E76:OFFSET(E76,-(Q$6-1),0))</f>
        <v>7041.85</v>
      </c>
      <c r="R76" s="63">
        <f t="shared" ca="1" si="8"/>
        <v>-1</v>
      </c>
    </row>
    <row r="77" spans="1:30">
      <c r="A77" s="46">
        <v>20080826</v>
      </c>
      <c r="B77" s="47">
        <v>6909</v>
      </c>
      <c r="C77" s="47">
        <v>6962</v>
      </c>
      <c r="D77" s="47">
        <v>6885</v>
      </c>
      <c r="E77" s="47">
        <v>6946</v>
      </c>
      <c r="F77" s="48">
        <v>47757</v>
      </c>
      <c r="G77" s="57">
        <f t="shared" si="10"/>
        <v>-79</v>
      </c>
      <c r="H77" s="57">
        <f t="shared" si="9"/>
        <v>37</v>
      </c>
      <c r="I77" s="67">
        <f t="shared" ca="1" si="3"/>
        <v>0</v>
      </c>
      <c r="J77" s="68">
        <f t="shared" ca="1" si="4"/>
        <v>-1</v>
      </c>
      <c r="K77" s="69">
        <f t="shared" ca="1" si="5"/>
        <v>42</v>
      </c>
      <c r="L77" s="42">
        <f t="shared" ca="1" si="6"/>
        <v>232</v>
      </c>
      <c r="M77" s="62">
        <f t="shared" si="11"/>
        <v>0</v>
      </c>
      <c r="N77" s="40">
        <f ca="1">AVERAGE(M77:OFFSET(M77,-(O$5-1),0))</f>
        <v>0.4</v>
      </c>
      <c r="O77" s="63">
        <f t="shared" ca="1" si="7"/>
        <v>0</v>
      </c>
      <c r="P77" s="65">
        <f ca="1">AVERAGE(E77:OFFSET(E77,-(Q$5-1),0))</f>
        <v>6973.5</v>
      </c>
      <c r="Q77" s="41">
        <f ca="1">AVERAGE(E77:OFFSET(E77,-(Q$6-1),0))</f>
        <v>7043.35</v>
      </c>
      <c r="R77" s="63">
        <f t="shared" ca="1" si="8"/>
        <v>0</v>
      </c>
    </row>
    <row r="78" spans="1:30">
      <c r="A78" s="46">
        <v>20080827</v>
      </c>
      <c r="B78" s="47">
        <v>6929</v>
      </c>
      <c r="C78" s="47">
        <v>7120</v>
      </c>
      <c r="D78" s="47">
        <v>6897</v>
      </c>
      <c r="E78" s="47">
        <v>7082</v>
      </c>
      <c r="F78" s="48">
        <v>65941</v>
      </c>
      <c r="G78" s="57">
        <f t="shared" si="10"/>
        <v>-17</v>
      </c>
      <c r="H78" s="57">
        <f t="shared" si="9"/>
        <v>153</v>
      </c>
      <c r="I78" s="67">
        <f t="shared" ca="1" si="3"/>
        <v>0</v>
      </c>
      <c r="J78" s="68">
        <f t="shared" ca="1" si="4"/>
        <v>-1</v>
      </c>
      <c r="K78" s="69">
        <f t="shared" ca="1" si="5"/>
        <v>-136</v>
      </c>
      <c r="L78" s="42">
        <f t="shared" ca="1" si="6"/>
        <v>96</v>
      </c>
      <c r="M78" s="62">
        <f t="shared" si="11"/>
        <v>1</v>
      </c>
      <c r="N78" s="40">
        <f ca="1">AVERAGE(M78:OFFSET(M78,-(O$5-1),0))</f>
        <v>0.4</v>
      </c>
      <c r="O78" s="63">
        <f t="shared" ca="1" si="7"/>
        <v>0</v>
      </c>
      <c r="P78" s="65">
        <f ca="1">AVERAGE(E78:OFFSET(E78,-(Q$5-1),0))</f>
        <v>6956.75</v>
      </c>
      <c r="Q78" s="41">
        <f ca="1">AVERAGE(E78:OFFSET(E78,-(Q$6-1),0))</f>
        <v>7046.35</v>
      </c>
      <c r="R78" s="63">
        <f t="shared" ca="1" si="8"/>
        <v>0</v>
      </c>
    </row>
    <row r="79" spans="1:30">
      <c r="A79" s="46">
        <v>20080828</v>
      </c>
      <c r="B79" s="47">
        <v>7080</v>
      </c>
      <c r="C79" s="47">
        <v>7138</v>
      </c>
      <c r="D79" s="47">
        <v>7034</v>
      </c>
      <c r="E79" s="47">
        <v>7041</v>
      </c>
      <c r="F79" s="48">
        <v>55649</v>
      </c>
      <c r="G79" s="57">
        <f t="shared" si="10"/>
        <v>-2</v>
      </c>
      <c r="H79" s="57">
        <f t="shared" si="9"/>
        <v>-39</v>
      </c>
      <c r="I79" s="67">
        <f t="shared" ca="1" si="3"/>
        <v>0</v>
      </c>
      <c r="J79" s="68">
        <f t="shared" ca="1" si="4"/>
        <v>-1</v>
      </c>
      <c r="K79" s="69">
        <f t="shared" ca="1" si="5"/>
        <v>41</v>
      </c>
      <c r="L79" s="42">
        <f t="shared" ca="1" si="6"/>
        <v>137</v>
      </c>
      <c r="M79" s="62">
        <f t="shared" si="11"/>
        <v>0</v>
      </c>
      <c r="N79" s="40">
        <f ca="1">AVERAGE(M79:OFFSET(M79,-(O$5-1),0))</f>
        <v>0.3</v>
      </c>
      <c r="O79" s="63">
        <f t="shared" ca="1" si="7"/>
        <v>0</v>
      </c>
      <c r="P79" s="65">
        <f ca="1">AVERAGE(E79:OFFSET(E79,-(Q$5-1),0))</f>
        <v>6964.375</v>
      </c>
      <c r="Q79" s="41">
        <f ca="1">AVERAGE(E79:OFFSET(E79,-(Q$6-1),0))</f>
        <v>7048.5</v>
      </c>
      <c r="R79" s="63">
        <f t="shared" ca="1" si="8"/>
        <v>0</v>
      </c>
    </row>
    <row r="80" spans="1:30">
      <c r="A80" s="46">
        <v>20080829</v>
      </c>
      <c r="B80" s="47">
        <v>7100</v>
      </c>
      <c r="C80" s="47">
        <v>7138</v>
      </c>
      <c r="D80" s="47">
        <v>7011</v>
      </c>
      <c r="E80" s="47">
        <v>7054</v>
      </c>
      <c r="F80" s="48">
        <v>59224</v>
      </c>
      <c r="G80" s="57">
        <f t="shared" si="10"/>
        <v>59</v>
      </c>
      <c r="H80" s="57">
        <f t="shared" si="9"/>
        <v>-46</v>
      </c>
      <c r="I80" s="67">
        <f t="shared" ca="1" si="3"/>
        <v>0</v>
      </c>
      <c r="J80" s="68">
        <f t="shared" ca="1" si="4"/>
        <v>-1</v>
      </c>
      <c r="K80" s="69">
        <f t="shared" ca="1" si="5"/>
        <v>-13</v>
      </c>
      <c r="L80" s="42">
        <f t="shared" ca="1" si="6"/>
        <v>124</v>
      </c>
      <c r="M80" s="62">
        <f t="shared" si="11"/>
        <v>1</v>
      </c>
      <c r="N80" s="40">
        <f ca="1">AVERAGE(M80:OFFSET(M80,-(O$5-1),0))</f>
        <v>0.4</v>
      </c>
      <c r="O80" s="63">
        <f t="shared" ca="1" si="7"/>
        <v>0</v>
      </c>
      <c r="P80" s="65">
        <f ca="1">AVERAGE(E80:OFFSET(E80,-(Q$5-1),0))</f>
        <v>6979.125</v>
      </c>
      <c r="Q80" s="41">
        <f ca="1">AVERAGE(E80:OFFSET(E80,-(Q$6-1),0))</f>
        <v>7055.5</v>
      </c>
      <c r="R80" s="63">
        <f t="shared" ca="1" si="8"/>
        <v>0</v>
      </c>
    </row>
    <row r="81" spans="1:18">
      <c r="A81" s="46">
        <v>20080901</v>
      </c>
      <c r="B81" s="47">
        <v>6980</v>
      </c>
      <c r="C81" s="47">
        <v>6986</v>
      </c>
      <c r="D81" s="47">
        <v>6740</v>
      </c>
      <c r="E81" s="47">
        <v>6756</v>
      </c>
      <c r="F81" s="48">
        <v>70388</v>
      </c>
      <c r="G81" s="57">
        <f t="shared" si="10"/>
        <v>-74</v>
      </c>
      <c r="H81" s="57">
        <f t="shared" si="9"/>
        <v>-224</v>
      </c>
      <c r="I81" s="67">
        <f t="shared" ca="1" si="3"/>
        <v>0</v>
      </c>
      <c r="J81" s="68">
        <f t="shared" ca="1" si="4"/>
        <v>-1</v>
      </c>
      <c r="K81" s="69">
        <f t="shared" ca="1" si="5"/>
        <v>298</v>
      </c>
      <c r="L81" s="42">
        <f t="shared" ca="1" si="6"/>
        <v>422</v>
      </c>
      <c r="M81" s="62">
        <f t="shared" si="11"/>
        <v>0</v>
      </c>
      <c r="N81" s="40">
        <f ca="1">AVERAGE(M81:OFFSET(M81,-(O$5-1),0))</f>
        <v>0.4</v>
      </c>
      <c r="O81" s="63">
        <f t="shared" ca="1" si="7"/>
        <v>0</v>
      </c>
      <c r="P81" s="65">
        <f ca="1">AVERAGE(E81:OFFSET(E81,-(Q$5-1),0))</f>
        <v>6951.25</v>
      </c>
      <c r="Q81" s="41">
        <f ca="1">AVERAGE(E81:OFFSET(E81,-(Q$6-1),0))</f>
        <v>7046.6</v>
      </c>
      <c r="R81" s="63">
        <f t="shared" ca="1" si="8"/>
        <v>0</v>
      </c>
    </row>
    <row r="82" spans="1:18">
      <c r="A82" s="46">
        <v>20080902</v>
      </c>
      <c r="B82" s="47">
        <v>6790</v>
      </c>
      <c r="C82" s="47">
        <v>6797</v>
      </c>
      <c r="D82" s="47">
        <v>6652</v>
      </c>
      <c r="E82" s="47">
        <v>6698</v>
      </c>
      <c r="F82" s="48">
        <v>74737</v>
      </c>
      <c r="G82" s="57">
        <f t="shared" si="10"/>
        <v>34</v>
      </c>
      <c r="H82" s="57">
        <f t="shared" si="9"/>
        <v>-92</v>
      </c>
      <c r="I82" s="67">
        <f t="shared" ca="1" si="3"/>
        <v>0</v>
      </c>
      <c r="J82" s="68">
        <f t="shared" ca="1" si="4"/>
        <v>-1</v>
      </c>
      <c r="K82" s="69">
        <f t="shared" ca="1" si="5"/>
        <v>58</v>
      </c>
      <c r="L82" s="42">
        <f t="shared" ca="1" si="6"/>
        <v>480</v>
      </c>
      <c r="M82" s="62">
        <f t="shared" si="11"/>
        <v>0</v>
      </c>
      <c r="N82" s="40">
        <f ca="1">AVERAGE(M82:OFFSET(M82,-(O$5-1),0))</f>
        <v>0.4</v>
      </c>
      <c r="O82" s="63">
        <f t="shared" ca="1" si="7"/>
        <v>0</v>
      </c>
      <c r="P82" s="65">
        <f ca="1">AVERAGE(E82:OFFSET(E82,-(Q$5-1),0))</f>
        <v>6928.75</v>
      </c>
      <c r="Q82" s="41">
        <f ca="1">AVERAGE(E82:OFFSET(E82,-(Q$6-1),0))</f>
        <v>7042.6</v>
      </c>
      <c r="R82" s="63">
        <f t="shared" ca="1" si="8"/>
        <v>0</v>
      </c>
    </row>
    <row r="83" spans="1:18">
      <c r="A83" s="46">
        <v>20080903</v>
      </c>
      <c r="B83" s="47">
        <v>6714</v>
      </c>
      <c r="C83" s="47">
        <v>6756</v>
      </c>
      <c r="D83" s="47">
        <v>6560</v>
      </c>
      <c r="E83" s="47">
        <v>6588</v>
      </c>
      <c r="F83" s="48">
        <v>80450</v>
      </c>
      <c r="G83" s="57">
        <f t="shared" si="10"/>
        <v>16</v>
      </c>
      <c r="H83" s="57">
        <f t="shared" si="9"/>
        <v>-126</v>
      </c>
      <c r="I83" s="67">
        <f t="shared" ca="1" si="3"/>
        <v>0</v>
      </c>
      <c r="J83" s="68">
        <f t="shared" ca="1" si="4"/>
        <v>-1</v>
      </c>
      <c r="K83" s="69">
        <f t="shared" ca="1" si="5"/>
        <v>110</v>
      </c>
      <c r="L83" s="42">
        <f t="shared" ca="1" si="6"/>
        <v>590</v>
      </c>
      <c r="M83" s="62">
        <f t="shared" si="11"/>
        <v>0</v>
      </c>
      <c r="N83" s="40">
        <f ca="1">AVERAGE(M83:OFFSET(M83,-(O$5-1),0))</f>
        <v>0.3</v>
      </c>
      <c r="O83" s="63">
        <f t="shared" ca="1" si="7"/>
        <v>0</v>
      </c>
      <c r="P83" s="65">
        <f ca="1">AVERAGE(E83:OFFSET(E83,-(Q$5-1),0))</f>
        <v>6894.125</v>
      </c>
      <c r="Q83" s="41">
        <f ca="1">AVERAGE(E83:OFFSET(E83,-(Q$6-1),0))</f>
        <v>7021.15</v>
      </c>
      <c r="R83" s="63">
        <f t="shared" ca="1" si="8"/>
        <v>0</v>
      </c>
    </row>
    <row r="84" spans="1:18">
      <c r="A84" s="46">
        <v>20080904</v>
      </c>
      <c r="B84" s="47">
        <v>6561</v>
      </c>
      <c r="C84" s="47">
        <v>6630</v>
      </c>
      <c r="D84" s="47">
        <v>6345</v>
      </c>
      <c r="E84" s="47">
        <v>6397</v>
      </c>
      <c r="F84" s="48">
        <v>85011</v>
      </c>
      <c r="G84" s="57">
        <f t="shared" si="10"/>
        <v>-27</v>
      </c>
      <c r="H84" s="57">
        <f t="shared" si="9"/>
        <v>-164</v>
      </c>
      <c r="I84" s="67">
        <f t="shared" ca="1" si="3"/>
        <v>0</v>
      </c>
      <c r="J84" s="68">
        <f t="shared" ca="1" si="4"/>
        <v>-1</v>
      </c>
      <c r="K84" s="69">
        <f t="shared" ca="1" si="5"/>
        <v>191</v>
      </c>
      <c r="L84" s="42">
        <f t="shared" ca="1" si="6"/>
        <v>781</v>
      </c>
      <c r="M84" s="62">
        <f t="shared" si="11"/>
        <v>0</v>
      </c>
      <c r="N84" s="40">
        <f ca="1">AVERAGE(M84:OFFSET(M84,-(O$5-1),0))</f>
        <v>0.3</v>
      </c>
      <c r="O84" s="63">
        <f t="shared" ca="1" si="7"/>
        <v>0</v>
      </c>
      <c r="P84" s="65">
        <f ca="1">AVERAGE(E84:OFFSET(E84,-(Q$5-1),0))</f>
        <v>6820.25</v>
      </c>
      <c r="Q84" s="41">
        <f ca="1">AVERAGE(E84:OFFSET(E84,-(Q$6-1),0))</f>
        <v>6990.7</v>
      </c>
      <c r="R84" s="63">
        <f t="shared" ca="1" si="8"/>
        <v>0</v>
      </c>
    </row>
    <row r="85" spans="1:18">
      <c r="A85" s="46">
        <v>20080905</v>
      </c>
      <c r="B85" s="47">
        <v>6235</v>
      </c>
      <c r="C85" s="47">
        <v>6330</v>
      </c>
      <c r="D85" s="47">
        <v>6203</v>
      </c>
      <c r="E85" s="47">
        <v>6244</v>
      </c>
      <c r="F85" s="48">
        <v>69239</v>
      </c>
      <c r="G85" s="57">
        <f t="shared" si="10"/>
        <v>-162</v>
      </c>
      <c r="H85" s="57">
        <f t="shared" si="9"/>
        <v>9</v>
      </c>
      <c r="I85" s="67">
        <f t="shared" ca="1" si="3"/>
        <v>0</v>
      </c>
      <c r="J85" s="68">
        <f t="shared" ca="1" si="4"/>
        <v>-1</v>
      </c>
      <c r="K85" s="69">
        <f t="shared" ca="1" si="5"/>
        <v>153</v>
      </c>
      <c r="L85" s="42">
        <f t="shared" ca="1" si="6"/>
        <v>934</v>
      </c>
      <c r="M85" s="62">
        <f t="shared" si="11"/>
        <v>0</v>
      </c>
      <c r="N85" s="40">
        <f ca="1">AVERAGE(M85:OFFSET(M85,-(O$5-1),0))</f>
        <v>0.3</v>
      </c>
      <c r="O85" s="63">
        <f t="shared" ca="1" si="7"/>
        <v>0</v>
      </c>
      <c r="P85" s="65">
        <f ca="1">AVERAGE(E85:OFFSET(E85,-(Q$5-1),0))</f>
        <v>6732.5</v>
      </c>
      <c r="Q85" s="41">
        <f ca="1">AVERAGE(E85:OFFSET(E85,-(Q$6-1),0))</f>
        <v>6943.45</v>
      </c>
      <c r="R85" s="63">
        <f t="shared" ca="1" si="8"/>
        <v>0</v>
      </c>
    </row>
    <row r="86" spans="1:18">
      <c r="A86" s="46">
        <v>20080908</v>
      </c>
      <c r="B86" s="47">
        <v>6487</v>
      </c>
      <c r="C86" s="47">
        <v>6677</v>
      </c>
      <c r="D86" s="47">
        <v>6481</v>
      </c>
      <c r="E86" s="47">
        <v>6677</v>
      </c>
      <c r="F86" s="48">
        <v>59242</v>
      </c>
      <c r="G86" s="57">
        <f t="shared" si="10"/>
        <v>243</v>
      </c>
      <c r="H86" s="57">
        <f t="shared" si="9"/>
        <v>190</v>
      </c>
      <c r="I86" s="67">
        <f t="shared" ca="1" si="3"/>
        <v>0</v>
      </c>
      <c r="J86" s="68">
        <f t="shared" ca="1" si="4"/>
        <v>-1</v>
      </c>
      <c r="K86" s="69">
        <f t="shared" ca="1" si="5"/>
        <v>-433</v>
      </c>
      <c r="L86" s="42">
        <f t="shared" ca="1" si="6"/>
        <v>501</v>
      </c>
      <c r="M86" s="62">
        <f t="shared" si="11"/>
        <v>1</v>
      </c>
      <c r="N86" s="40">
        <f ca="1">AVERAGE(M86:OFFSET(M86,-(O$5-1),0))</f>
        <v>0.3</v>
      </c>
      <c r="O86" s="63">
        <f t="shared" ca="1" si="7"/>
        <v>0</v>
      </c>
      <c r="P86" s="65">
        <f ca="1">AVERAGE(E86:OFFSET(E86,-(Q$5-1),0))</f>
        <v>6681.875</v>
      </c>
      <c r="Q86" s="41">
        <f ca="1">AVERAGE(E86:OFFSET(E86,-(Q$6-1),0))</f>
        <v>6912.85</v>
      </c>
      <c r="R86" s="63">
        <f t="shared" ca="1" si="8"/>
        <v>0</v>
      </c>
    </row>
    <row r="87" spans="1:18">
      <c r="A87" s="46">
        <v>20080909</v>
      </c>
      <c r="B87" s="47">
        <v>6594</v>
      </c>
      <c r="C87" s="47">
        <v>6618</v>
      </c>
      <c r="D87" s="47">
        <v>6390</v>
      </c>
      <c r="E87" s="47">
        <v>6466</v>
      </c>
      <c r="F87" s="48">
        <v>74030</v>
      </c>
      <c r="G87" s="57">
        <f t="shared" si="10"/>
        <v>-83</v>
      </c>
      <c r="H87" s="57">
        <f t="shared" si="9"/>
        <v>-128</v>
      </c>
      <c r="I87" s="67">
        <f t="shared" ca="1" si="3"/>
        <v>0</v>
      </c>
      <c r="J87" s="68">
        <f t="shared" ca="1" si="4"/>
        <v>-1</v>
      </c>
      <c r="K87" s="69">
        <f t="shared" ca="1" si="5"/>
        <v>211</v>
      </c>
      <c r="L87" s="42">
        <f t="shared" ca="1" si="6"/>
        <v>712</v>
      </c>
      <c r="M87" s="62">
        <f t="shared" si="11"/>
        <v>0</v>
      </c>
      <c r="N87" s="40">
        <f ca="1">AVERAGE(M87:OFFSET(M87,-(O$5-1),0))</f>
        <v>0.3</v>
      </c>
      <c r="O87" s="63">
        <f t="shared" ca="1" si="7"/>
        <v>0</v>
      </c>
      <c r="P87" s="65">
        <f ca="1">AVERAGE(E87:OFFSET(E87,-(Q$5-1),0))</f>
        <v>6610</v>
      </c>
      <c r="Q87" s="41">
        <f ca="1">AVERAGE(E87:OFFSET(E87,-(Q$6-1),0))</f>
        <v>6872.65</v>
      </c>
      <c r="R87" s="63">
        <f t="shared" ca="1" si="8"/>
        <v>0</v>
      </c>
    </row>
    <row r="88" spans="1:18">
      <c r="A88" s="46">
        <v>20080910</v>
      </c>
      <c r="B88" s="47">
        <v>6351</v>
      </c>
      <c r="C88" s="47">
        <v>6516</v>
      </c>
      <c r="D88" s="47">
        <v>6345</v>
      </c>
      <c r="E88" s="47">
        <v>6453</v>
      </c>
      <c r="F88" s="48">
        <v>85572</v>
      </c>
      <c r="G88" s="57">
        <f t="shared" si="10"/>
        <v>-115</v>
      </c>
      <c r="H88" s="57">
        <f t="shared" si="9"/>
        <v>102</v>
      </c>
      <c r="I88" s="67">
        <f t="shared" ca="1" si="3"/>
        <v>1</v>
      </c>
      <c r="J88" s="68">
        <f t="shared" ca="1" si="4"/>
        <v>-1</v>
      </c>
      <c r="K88" s="69">
        <f t="shared" ca="1" si="5"/>
        <v>13</v>
      </c>
      <c r="L88" s="42">
        <f t="shared" ca="1" si="6"/>
        <v>725</v>
      </c>
      <c r="M88" s="62">
        <f t="shared" si="11"/>
        <v>0</v>
      </c>
      <c r="N88" s="40">
        <f ca="1">AVERAGE(M88:OFFSET(M88,-(O$5-1),0))</f>
        <v>0.2</v>
      </c>
      <c r="O88" s="63">
        <f t="shared" ca="1" si="7"/>
        <v>1</v>
      </c>
      <c r="P88" s="65">
        <f ca="1">AVERAGE(E88:OFFSET(E88,-(Q$5-1),0))</f>
        <v>6534.875</v>
      </c>
      <c r="Q88" s="41">
        <f ca="1">AVERAGE(E88:OFFSET(E88,-(Q$6-1),0))</f>
        <v>6830.35</v>
      </c>
      <c r="R88" s="63">
        <f t="shared" ca="1" si="8"/>
        <v>0</v>
      </c>
    </row>
    <row r="89" spans="1:18">
      <c r="A89" s="46">
        <v>20080911</v>
      </c>
      <c r="B89" s="47">
        <v>6437</v>
      </c>
      <c r="C89" s="47">
        <v>6438</v>
      </c>
      <c r="D89" s="47">
        <v>6203</v>
      </c>
      <c r="E89" s="47">
        <v>6230</v>
      </c>
      <c r="F89" s="48">
        <v>82808</v>
      </c>
      <c r="G89" s="57">
        <f t="shared" si="10"/>
        <v>-16</v>
      </c>
      <c r="H89" s="57">
        <f t="shared" si="9"/>
        <v>-207</v>
      </c>
      <c r="I89" s="67">
        <f t="shared" ca="1" si="3"/>
        <v>1</v>
      </c>
      <c r="J89" s="68">
        <f t="shared" ca="1" si="4"/>
        <v>0</v>
      </c>
      <c r="K89" s="69">
        <f t="shared" ca="1" si="5"/>
        <v>16</v>
      </c>
      <c r="L89" s="42">
        <f t="shared" ca="1" si="6"/>
        <v>741</v>
      </c>
      <c r="M89" s="62">
        <f t="shared" si="11"/>
        <v>0</v>
      </c>
      <c r="N89" s="40">
        <f ca="1">AVERAGE(M89:OFFSET(M89,-(O$5-1),0))</f>
        <v>0.2</v>
      </c>
      <c r="O89" s="63">
        <f t="shared" ca="1" si="7"/>
        <v>1</v>
      </c>
      <c r="P89" s="65">
        <f ca="1">AVERAGE(E89:OFFSET(E89,-(Q$5-1),0))</f>
        <v>6469.125</v>
      </c>
      <c r="Q89" s="41">
        <f ca="1">AVERAGE(E89:OFFSET(E89,-(Q$6-1),0))</f>
        <v>6773.7</v>
      </c>
      <c r="R89" s="63">
        <f t="shared" ca="1" si="8"/>
        <v>0</v>
      </c>
    </row>
    <row r="90" spans="1:18">
      <c r="A90" s="46">
        <v>20080912</v>
      </c>
      <c r="B90" s="47">
        <v>6354</v>
      </c>
      <c r="C90" s="47">
        <v>6369</v>
      </c>
      <c r="D90" s="47">
        <v>6153</v>
      </c>
      <c r="E90" s="47">
        <v>6288</v>
      </c>
      <c r="F90" s="48">
        <v>86372</v>
      </c>
      <c r="G90" s="57">
        <f t="shared" si="10"/>
        <v>124</v>
      </c>
      <c r="H90" s="57">
        <f t="shared" si="9"/>
        <v>-66</v>
      </c>
      <c r="I90" s="67">
        <f t="shared" ca="1" si="3"/>
        <v>1</v>
      </c>
      <c r="J90" s="68">
        <f t="shared" ca="1" si="4"/>
        <v>1</v>
      </c>
      <c r="K90" s="69">
        <f t="shared" ca="1" si="5"/>
        <v>-66</v>
      </c>
      <c r="L90" s="42">
        <f t="shared" ca="1" si="6"/>
        <v>675</v>
      </c>
      <c r="M90" s="62">
        <f t="shared" si="11"/>
        <v>1</v>
      </c>
      <c r="N90" s="40">
        <f ca="1">AVERAGE(M90:OFFSET(M90,-(O$5-1),0))</f>
        <v>0.2</v>
      </c>
      <c r="O90" s="63">
        <f t="shared" ca="1" si="7"/>
        <v>1</v>
      </c>
      <c r="P90" s="65">
        <f ca="1">AVERAGE(E90:OFFSET(E90,-(Q$5-1),0))</f>
        <v>6417.875</v>
      </c>
      <c r="Q90" s="41">
        <f ca="1">AVERAGE(E90:OFFSET(E90,-(Q$6-1),0))</f>
        <v>6727.3</v>
      </c>
      <c r="R90" s="63">
        <f t="shared" ca="1" si="8"/>
        <v>0</v>
      </c>
    </row>
    <row r="91" spans="1:18">
      <c r="A91" s="46">
        <v>20080915</v>
      </c>
      <c r="B91" s="47">
        <v>6130</v>
      </c>
      <c r="C91" s="47">
        <v>6190</v>
      </c>
      <c r="D91" s="47">
        <v>5863</v>
      </c>
      <c r="E91" s="47">
        <v>5967</v>
      </c>
      <c r="F91" s="48">
        <v>79849</v>
      </c>
      <c r="G91" s="57">
        <f t="shared" si="10"/>
        <v>-158</v>
      </c>
      <c r="H91" s="57">
        <f t="shared" si="9"/>
        <v>-163</v>
      </c>
      <c r="I91" s="67">
        <f t="shared" ca="1" si="3"/>
        <v>1</v>
      </c>
      <c r="J91" s="68">
        <f t="shared" ca="1" si="4"/>
        <v>1</v>
      </c>
      <c r="K91" s="69">
        <f t="shared" ca="1" si="5"/>
        <v>-321</v>
      </c>
      <c r="L91" s="42">
        <f t="shared" ca="1" si="6"/>
        <v>354</v>
      </c>
      <c r="M91" s="62">
        <f t="shared" si="11"/>
        <v>0</v>
      </c>
      <c r="N91" s="40">
        <f ca="1">AVERAGE(M91:OFFSET(M91,-(O$5-1),0))</f>
        <v>0.2</v>
      </c>
      <c r="O91" s="63">
        <f t="shared" ca="1" si="7"/>
        <v>1</v>
      </c>
      <c r="P91" s="65">
        <f ca="1">AVERAGE(E91:OFFSET(E91,-(Q$5-1),0))</f>
        <v>6340.25</v>
      </c>
      <c r="Q91" s="41">
        <f ca="1">AVERAGE(E91:OFFSET(E91,-(Q$6-1),0))</f>
        <v>6676.65</v>
      </c>
      <c r="R91" s="63">
        <f t="shared" ca="1" si="8"/>
        <v>0</v>
      </c>
    </row>
    <row r="92" spans="1:18">
      <c r="A92" s="46">
        <v>20080916</v>
      </c>
      <c r="B92" s="47">
        <v>5849</v>
      </c>
      <c r="C92" s="47">
        <v>5858</v>
      </c>
      <c r="D92" s="47">
        <v>5679</v>
      </c>
      <c r="E92" s="47">
        <v>5685</v>
      </c>
      <c r="F92" s="48">
        <v>87342</v>
      </c>
      <c r="G92" s="57">
        <f t="shared" si="10"/>
        <v>-118</v>
      </c>
      <c r="H92" s="57">
        <f t="shared" si="9"/>
        <v>-164</v>
      </c>
      <c r="I92" s="67">
        <f t="shared" ca="1" si="3"/>
        <v>1</v>
      </c>
      <c r="J92" s="68">
        <f t="shared" ca="1" si="4"/>
        <v>1</v>
      </c>
      <c r="K92" s="69">
        <f t="shared" ca="1" si="5"/>
        <v>-282</v>
      </c>
      <c r="L92" s="42">
        <f t="shared" ca="1" si="6"/>
        <v>72</v>
      </c>
      <c r="M92" s="62">
        <f t="shared" si="11"/>
        <v>0</v>
      </c>
      <c r="N92" s="40">
        <f ca="1">AVERAGE(M92:OFFSET(M92,-(O$5-1),0))</f>
        <v>0.2</v>
      </c>
      <c r="O92" s="63">
        <f t="shared" ca="1" si="7"/>
        <v>1</v>
      </c>
      <c r="P92" s="65">
        <f ca="1">AVERAGE(E92:OFFSET(E92,-(Q$5-1),0))</f>
        <v>6251.25</v>
      </c>
      <c r="Q92" s="41">
        <f ca="1">AVERAGE(E92:OFFSET(E92,-(Q$6-1),0))</f>
        <v>6614.1</v>
      </c>
      <c r="R92" s="63">
        <f t="shared" ca="1" si="8"/>
        <v>0</v>
      </c>
    </row>
    <row r="93" spans="1:18">
      <c r="A93" s="46">
        <v>20080917</v>
      </c>
      <c r="B93" s="47">
        <v>5945</v>
      </c>
      <c r="C93" s="47">
        <v>5955</v>
      </c>
      <c r="D93" s="47">
        <v>5691</v>
      </c>
      <c r="E93" s="47">
        <v>5745</v>
      </c>
      <c r="F93" s="48">
        <v>55404</v>
      </c>
      <c r="G93" s="57">
        <f t="shared" si="10"/>
        <v>260</v>
      </c>
      <c r="H93" s="57">
        <f t="shared" si="9"/>
        <v>-200</v>
      </c>
      <c r="I93" s="67">
        <f t="shared" ca="1" si="3"/>
        <v>0</v>
      </c>
      <c r="J93" s="68">
        <f t="shared" ca="1" si="4"/>
        <v>1</v>
      </c>
      <c r="K93" s="69">
        <f t="shared" ca="1" si="5"/>
        <v>60</v>
      </c>
      <c r="L93" s="42">
        <f t="shared" ca="1" si="6"/>
        <v>132</v>
      </c>
      <c r="M93" s="62">
        <f t="shared" si="11"/>
        <v>1</v>
      </c>
      <c r="N93" s="40">
        <f ca="1">AVERAGE(M93:OFFSET(M93,-(O$5-1),0))</f>
        <v>0.3</v>
      </c>
      <c r="O93" s="63">
        <f t="shared" ca="1" si="7"/>
        <v>0</v>
      </c>
      <c r="P93" s="65">
        <f ca="1">AVERAGE(E93:OFFSET(E93,-(Q$5-1),0))</f>
        <v>6188.875</v>
      </c>
      <c r="Q93" s="41">
        <f ca="1">AVERAGE(E93:OFFSET(E93,-(Q$6-1),0))</f>
        <v>6552.4</v>
      </c>
      <c r="R93" s="63">
        <f t="shared" ca="1" si="8"/>
        <v>0</v>
      </c>
    </row>
    <row r="94" spans="1:18">
      <c r="A94" s="46">
        <v>20080918</v>
      </c>
      <c r="B94" s="47">
        <v>5551</v>
      </c>
      <c r="C94" s="47">
        <v>5590</v>
      </c>
      <c r="D94" s="47">
        <v>5416</v>
      </c>
      <c r="E94" s="47">
        <v>5522</v>
      </c>
      <c r="F94" s="48">
        <v>104742</v>
      </c>
      <c r="G94" s="57">
        <f t="shared" si="10"/>
        <v>-194</v>
      </c>
      <c r="H94" s="57">
        <f t="shared" si="9"/>
        <v>-29</v>
      </c>
      <c r="I94" s="67">
        <f t="shared" ca="1" si="3"/>
        <v>0</v>
      </c>
      <c r="J94" s="68">
        <f t="shared" ca="1" si="4"/>
        <v>1</v>
      </c>
      <c r="K94" s="69">
        <f t="shared" ca="1" si="5"/>
        <v>-223</v>
      </c>
      <c r="L94" s="42">
        <f t="shared" ca="1" si="6"/>
        <v>-91</v>
      </c>
      <c r="M94" s="62">
        <f t="shared" si="11"/>
        <v>0</v>
      </c>
      <c r="N94" s="40">
        <f ca="1">AVERAGE(M94:OFFSET(M94,-(O$5-1),0))</f>
        <v>0.3</v>
      </c>
      <c r="O94" s="63">
        <f t="shared" ca="1" si="7"/>
        <v>0</v>
      </c>
      <c r="P94" s="65">
        <f ca="1">AVERAGE(E94:OFFSET(E94,-(Q$5-1),0))</f>
        <v>6044.5</v>
      </c>
      <c r="Q94" s="41">
        <f ca="1">AVERAGE(E94:OFFSET(E94,-(Q$6-1),0))</f>
        <v>6484.6</v>
      </c>
      <c r="R94" s="63">
        <f t="shared" ca="1" si="8"/>
        <v>0</v>
      </c>
    </row>
    <row r="95" spans="1:18">
      <c r="A95" s="46">
        <v>20080919</v>
      </c>
      <c r="B95" s="47">
        <v>5806</v>
      </c>
      <c r="C95" s="47">
        <v>5908</v>
      </c>
      <c r="D95" s="47">
        <v>5785</v>
      </c>
      <c r="E95" s="47">
        <v>5908</v>
      </c>
      <c r="F95" s="48">
        <v>42325</v>
      </c>
      <c r="G95" s="57">
        <f t="shared" si="10"/>
        <v>284</v>
      </c>
      <c r="H95" s="57">
        <f t="shared" si="9"/>
        <v>102</v>
      </c>
      <c r="I95" s="67">
        <f t="shared" ca="1" si="3"/>
        <v>0</v>
      </c>
      <c r="J95" s="68">
        <f t="shared" ca="1" si="4"/>
        <v>1</v>
      </c>
      <c r="K95" s="69">
        <f t="shared" ca="1" si="5"/>
        <v>386</v>
      </c>
      <c r="L95" s="42">
        <f t="shared" ca="1" si="6"/>
        <v>295</v>
      </c>
      <c r="M95" s="62">
        <f t="shared" si="11"/>
        <v>1</v>
      </c>
      <c r="N95" s="40">
        <f ca="1">AVERAGE(M95:OFFSET(M95,-(O$5-1),0))</f>
        <v>0.4</v>
      </c>
      <c r="O95" s="63">
        <f t="shared" ca="1" si="7"/>
        <v>0</v>
      </c>
      <c r="P95" s="65">
        <f ca="1">AVERAGE(E95:OFFSET(E95,-(Q$5-1),0))</f>
        <v>5974.75</v>
      </c>
      <c r="Q95" s="41">
        <f ca="1">AVERAGE(E95:OFFSET(E95,-(Q$6-1),0))</f>
        <v>6436.75</v>
      </c>
      <c r="R95" s="63">
        <f t="shared" ca="1" si="8"/>
        <v>0</v>
      </c>
    </row>
    <row r="96" spans="1:18" ht="17.25" customHeight="1">
      <c r="A96" s="46">
        <v>20080922</v>
      </c>
      <c r="B96" s="47">
        <v>6120</v>
      </c>
      <c r="C96" s="47">
        <v>6122</v>
      </c>
      <c r="D96" s="47">
        <v>5956</v>
      </c>
      <c r="E96" s="47">
        <v>6089</v>
      </c>
      <c r="F96" s="48">
        <v>79567</v>
      </c>
      <c r="G96" s="57">
        <f t="shared" si="10"/>
        <v>212</v>
      </c>
      <c r="H96" s="57">
        <f t="shared" si="9"/>
        <v>-31</v>
      </c>
      <c r="I96" s="67">
        <f t="shared" ca="1" si="3"/>
        <v>0</v>
      </c>
      <c r="J96" s="68">
        <f t="shared" ca="1" si="4"/>
        <v>1</v>
      </c>
      <c r="K96" s="69">
        <f t="shared" ca="1" si="5"/>
        <v>181</v>
      </c>
      <c r="L96" s="42">
        <f t="shared" ca="1" si="6"/>
        <v>476</v>
      </c>
      <c r="M96" s="62">
        <f t="shared" si="11"/>
        <v>1</v>
      </c>
      <c r="N96" s="40">
        <f ca="1">AVERAGE(M96:OFFSET(M96,-(O$5-1),0))</f>
        <v>0.4</v>
      </c>
      <c r="O96" s="63">
        <f t="shared" ca="1" si="7"/>
        <v>0</v>
      </c>
      <c r="P96" s="65">
        <f ca="1">AVERAGE(E96:OFFSET(E96,-(Q$5-1),0))</f>
        <v>5929.25</v>
      </c>
      <c r="Q96" s="41">
        <f ca="1">AVERAGE(E96:OFFSET(E96,-(Q$6-1),0))</f>
        <v>6391.8</v>
      </c>
      <c r="R96" s="63">
        <f t="shared" ca="1" si="8"/>
        <v>0</v>
      </c>
    </row>
    <row r="97" spans="1:18">
      <c r="A97" s="46">
        <v>20080923</v>
      </c>
      <c r="B97" s="47">
        <v>6030</v>
      </c>
      <c r="C97" s="47">
        <v>6150</v>
      </c>
      <c r="D97" s="47">
        <v>5995</v>
      </c>
      <c r="E97" s="47">
        <v>6135</v>
      </c>
      <c r="F97" s="48">
        <v>72428</v>
      </c>
      <c r="G97" s="57">
        <f t="shared" si="10"/>
        <v>-59</v>
      </c>
      <c r="H97" s="57">
        <f t="shared" si="9"/>
        <v>105</v>
      </c>
      <c r="I97" s="67">
        <f t="shared" ca="1" si="3"/>
        <v>0</v>
      </c>
      <c r="J97" s="68">
        <f t="shared" ca="1" si="4"/>
        <v>1</v>
      </c>
      <c r="K97" s="69">
        <f t="shared" ca="1" si="5"/>
        <v>46</v>
      </c>
      <c r="L97" s="42">
        <f t="shared" ca="1" si="6"/>
        <v>522</v>
      </c>
      <c r="M97" s="62">
        <f t="shared" si="11"/>
        <v>1</v>
      </c>
      <c r="N97" s="40">
        <f ca="1">AVERAGE(M97:OFFSET(M97,-(O$5-1),0))</f>
        <v>0.5</v>
      </c>
      <c r="O97" s="63">
        <f t="shared" ca="1" si="7"/>
        <v>0</v>
      </c>
      <c r="P97" s="65">
        <f ca="1">AVERAGE(E97:OFFSET(E97,-(Q$5-1),0))</f>
        <v>5917.375</v>
      </c>
      <c r="Q97" s="41">
        <f ca="1">AVERAGE(E97:OFFSET(E97,-(Q$6-1),0))</f>
        <v>6351.25</v>
      </c>
      <c r="R97" s="63">
        <f t="shared" ca="1" si="8"/>
        <v>0</v>
      </c>
    </row>
    <row r="98" spans="1:18">
      <c r="A98" s="46">
        <v>20080924</v>
      </c>
      <c r="B98" s="47">
        <v>6117</v>
      </c>
      <c r="C98" s="47">
        <v>6195</v>
      </c>
      <c r="D98" s="47">
        <v>6075</v>
      </c>
      <c r="E98" s="47">
        <v>6155</v>
      </c>
      <c r="F98" s="48">
        <v>78510</v>
      </c>
      <c r="G98" s="57">
        <f t="shared" si="10"/>
        <v>-18</v>
      </c>
      <c r="H98" s="57">
        <f t="shared" si="9"/>
        <v>38</v>
      </c>
      <c r="I98" s="67">
        <f t="shared" ca="1" si="3"/>
        <v>-1</v>
      </c>
      <c r="J98" s="68">
        <f t="shared" ca="1" si="4"/>
        <v>1</v>
      </c>
      <c r="K98" s="69">
        <f t="shared" ca="1" si="5"/>
        <v>20</v>
      </c>
      <c r="L98" s="42">
        <f t="shared" ca="1" si="6"/>
        <v>542</v>
      </c>
      <c r="M98" s="62">
        <f t="shared" si="11"/>
        <v>1</v>
      </c>
      <c r="N98" s="40">
        <f ca="1">AVERAGE(M98:OFFSET(M98,-(O$5-1),0))</f>
        <v>0.6</v>
      </c>
      <c r="O98" s="63">
        <f t="shared" ca="1" si="7"/>
        <v>-1</v>
      </c>
      <c r="P98" s="65">
        <f ca="1">AVERAGE(E98:OFFSET(E98,-(Q$5-1),0))</f>
        <v>5900.75</v>
      </c>
      <c r="Q98" s="41">
        <f ca="1">AVERAGE(E98:OFFSET(E98,-(Q$6-1),0))</f>
        <v>6304.9</v>
      </c>
      <c r="R98" s="63">
        <f t="shared" ca="1" si="8"/>
        <v>0</v>
      </c>
    </row>
    <row r="99" spans="1:18">
      <c r="A99" s="46">
        <v>20080925</v>
      </c>
      <c r="B99" s="47">
        <v>6000</v>
      </c>
      <c r="C99" s="47">
        <v>6159</v>
      </c>
      <c r="D99" s="47">
        <v>5961</v>
      </c>
      <c r="E99" s="47">
        <v>6058</v>
      </c>
      <c r="F99" s="48">
        <v>77756</v>
      </c>
      <c r="G99" s="57">
        <f t="shared" si="10"/>
        <v>-155</v>
      </c>
      <c r="H99" s="57">
        <f t="shared" si="9"/>
        <v>58</v>
      </c>
      <c r="I99" s="67">
        <f t="shared" ca="1" si="3"/>
        <v>-1</v>
      </c>
      <c r="J99" s="68">
        <f t="shared" ca="1" si="4"/>
        <v>0</v>
      </c>
      <c r="K99" s="69">
        <f t="shared" ca="1" si="5"/>
        <v>-155</v>
      </c>
      <c r="L99" s="42">
        <f t="shared" ca="1" si="6"/>
        <v>387</v>
      </c>
      <c r="M99" s="62">
        <f t="shared" si="11"/>
        <v>0</v>
      </c>
      <c r="N99" s="40">
        <f ca="1">AVERAGE(M99:OFFSET(M99,-(O$5-1),0))</f>
        <v>0.6</v>
      </c>
      <c r="O99" s="63">
        <f t="shared" ca="1" si="7"/>
        <v>-1</v>
      </c>
      <c r="P99" s="65">
        <f ca="1">AVERAGE(E99:OFFSET(E99,-(Q$5-1),0))</f>
        <v>5912.125</v>
      </c>
      <c r="Q99" s="41">
        <f ca="1">AVERAGE(E99:OFFSET(E99,-(Q$6-1),0))</f>
        <v>6255.75</v>
      </c>
      <c r="R99" s="63">
        <f t="shared" ca="1" si="8"/>
        <v>0</v>
      </c>
    </row>
    <row r="100" spans="1:18">
      <c r="A100" s="46">
        <v>20080926</v>
      </c>
      <c r="B100" s="47">
        <v>6050</v>
      </c>
      <c r="C100" s="47">
        <v>6061</v>
      </c>
      <c r="D100" s="47">
        <v>5819</v>
      </c>
      <c r="E100" s="47">
        <v>5866</v>
      </c>
      <c r="F100" s="48">
        <v>83524</v>
      </c>
      <c r="G100" s="57">
        <f t="shared" si="10"/>
        <v>-8</v>
      </c>
      <c r="H100" s="57">
        <f t="shared" si="9"/>
        <v>-184</v>
      </c>
      <c r="I100" s="67">
        <f t="shared" ca="1" si="3"/>
        <v>0</v>
      </c>
      <c r="J100" s="68">
        <f t="shared" ca="1" si="4"/>
        <v>-1</v>
      </c>
      <c r="K100" s="69">
        <f t="shared" ca="1" si="5"/>
        <v>184</v>
      </c>
      <c r="L100" s="42">
        <f t="shared" ca="1" si="6"/>
        <v>571</v>
      </c>
      <c r="M100" s="62">
        <f t="shared" si="11"/>
        <v>0</v>
      </c>
      <c r="N100" s="40">
        <f ca="1">AVERAGE(M100:OFFSET(M100,-(O$5-1),0))</f>
        <v>0.5</v>
      </c>
      <c r="O100" s="63">
        <f t="shared" ca="1" si="7"/>
        <v>0</v>
      </c>
      <c r="P100" s="65">
        <f ca="1">AVERAGE(E100:OFFSET(E100,-(Q$5-1),0))</f>
        <v>5934.75</v>
      </c>
      <c r="Q100" s="41">
        <f ca="1">AVERAGE(E100:OFFSET(E100,-(Q$6-1),0))</f>
        <v>6196.35</v>
      </c>
      <c r="R100" s="63">
        <f t="shared" ca="1" si="8"/>
        <v>0</v>
      </c>
    </row>
    <row r="101" spans="1:18">
      <c r="A101" s="46">
        <v>20080930</v>
      </c>
      <c r="B101" s="47">
        <v>5459</v>
      </c>
      <c r="C101" s="47">
        <v>5587</v>
      </c>
      <c r="D101" s="47">
        <v>5459</v>
      </c>
      <c r="E101" s="47">
        <v>5549</v>
      </c>
      <c r="F101" s="48">
        <v>51309</v>
      </c>
      <c r="G101" s="57">
        <f t="shared" si="10"/>
        <v>-407</v>
      </c>
      <c r="H101" s="57">
        <f t="shared" si="9"/>
        <v>90</v>
      </c>
      <c r="I101" s="67">
        <f t="shared" ca="1" si="3"/>
        <v>0</v>
      </c>
      <c r="J101" s="68">
        <f t="shared" ca="1" si="4"/>
        <v>-1</v>
      </c>
      <c r="K101" s="69">
        <f t="shared" ca="1" si="5"/>
        <v>317</v>
      </c>
      <c r="L101" s="42">
        <f t="shared" ca="1" si="6"/>
        <v>888</v>
      </c>
      <c r="M101" s="62">
        <f t="shared" si="11"/>
        <v>0</v>
      </c>
      <c r="N101" s="40">
        <f ca="1">AVERAGE(M101:OFFSET(M101,-(O$5-1),0))</f>
        <v>0.5</v>
      </c>
      <c r="O101" s="63">
        <f t="shared" ca="1" si="7"/>
        <v>0</v>
      </c>
      <c r="P101" s="65">
        <f ca="1">AVERAGE(E101:OFFSET(E101,-(Q$5-1),0))</f>
        <v>5910.25</v>
      </c>
      <c r="Q101" s="41">
        <f ca="1">AVERAGE(E101:OFFSET(E101,-(Q$6-1),0))</f>
        <v>6136</v>
      </c>
      <c r="R101" s="63">
        <f t="shared" ca="1" si="8"/>
        <v>0</v>
      </c>
    </row>
    <row r="102" spans="1:18">
      <c r="A102" s="46">
        <v>20081001</v>
      </c>
      <c r="B102" s="47">
        <v>5599</v>
      </c>
      <c r="C102" s="47">
        <v>5718</v>
      </c>
      <c r="D102" s="47">
        <v>5598</v>
      </c>
      <c r="E102" s="47">
        <v>5676</v>
      </c>
      <c r="F102" s="48">
        <v>70136</v>
      </c>
      <c r="G102" s="57">
        <f t="shared" si="10"/>
        <v>50</v>
      </c>
      <c r="H102" s="57">
        <f t="shared" si="9"/>
        <v>77</v>
      </c>
      <c r="I102" s="67">
        <f t="shared" ca="1" si="3"/>
        <v>-1</v>
      </c>
      <c r="J102" s="68">
        <f t="shared" ca="1" si="4"/>
        <v>-1</v>
      </c>
      <c r="K102" s="69">
        <f t="shared" ca="1" si="5"/>
        <v>-127</v>
      </c>
      <c r="L102" s="42">
        <f t="shared" ca="1" si="6"/>
        <v>761</v>
      </c>
      <c r="M102" s="62">
        <f t="shared" si="11"/>
        <v>1</v>
      </c>
      <c r="N102" s="40">
        <f ca="1">AVERAGE(M102:OFFSET(M102,-(O$5-1),0))</f>
        <v>0.6</v>
      </c>
      <c r="O102" s="63">
        <f t="shared" ca="1" si="7"/>
        <v>-1</v>
      </c>
      <c r="P102" s="65">
        <f ca="1">AVERAGE(E102:OFFSET(E102,-(Q$5-1),0))</f>
        <v>5929.5</v>
      </c>
      <c r="Q102" s="41">
        <f ca="1">AVERAGE(E102:OFFSET(E102,-(Q$6-1),0))</f>
        <v>6084.9</v>
      </c>
      <c r="R102" s="63">
        <f t="shared" ca="1" si="8"/>
        <v>0</v>
      </c>
    </row>
    <row r="103" spans="1:18">
      <c r="A103" s="46">
        <v>20081002</v>
      </c>
      <c r="B103" s="47">
        <v>5721</v>
      </c>
      <c r="C103" s="47">
        <v>5739</v>
      </c>
      <c r="D103" s="47">
        <v>5555</v>
      </c>
      <c r="E103" s="47">
        <v>5618</v>
      </c>
      <c r="F103" s="48">
        <v>80906</v>
      </c>
      <c r="G103" s="57">
        <f t="shared" si="10"/>
        <v>45</v>
      </c>
      <c r="H103" s="57">
        <f t="shared" si="9"/>
        <v>-103</v>
      </c>
      <c r="I103" s="67">
        <f t="shared" ca="1" si="3"/>
        <v>0</v>
      </c>
      <c r="J103" s="68">
        <f t="shared" ca="1" si="4"/>
        <v>-1</v>
      </c>
      <c r="K103" s="69">
        <f t="shared" ca="1" si="5"/>
        <v>58</v>
      </c>
      <c r="L103" s="42">
        <f t="shared" ca="1" si="6"/>
        <v>819</v>
      </c>
      <c r="M103" s="62">
        <f t="shared" si="11"/>
        <v>0</v>
      </c>
      <c r="N103" s="40">
        <f ca="1">AVERAGE(M103:OFFSET(M103,-(O$5-1),0))</f>
        <v>0.5</v>
      </c>
      <c r="O103" s="63">
        <f t="shared" ca="1" si="7"/>
        <v>0</v>
      </c>
      <c r="P103" s="65">
        <f ca="1">AVERAGE(E103:OFFSET(E103,-(Q$5-1),0))</f>
        <v>5893.25</v>
      </c>
      <c r="Q103" s="41">
        <f ca="1">AVERAGE(E103:OFFSET(E103,-(Q$6-1),0))</f>
        <v>6036.4</v>
      </c>
      <c r="R103" s="63">
        <f t="shared" ca="1" si="8"/>
        <v>0</v>
      </c>
    </row>
    <row r="104" spans="1:18">
      <c r="A104" s="46">
        <v>20081003</v>
      </c>
      <c r="B104" s="47">
        <v>5550</v>
      </c>
      <c r="C104" s="47">
        <v>5685</v>
      </c>
      <c r="D104" s="47">
        <v>5490</v>
      </c>
      <c r="E104" s="47">
        <v>5645</v>
      </c>
      <c r="F104" s="48">
        <v>78624</v>
      </c>
      <c r="G104" s="57">
        <f t="shared" si="10"/>
        <v>-68</v>
      </c>
      <c r="H104" s="57">
        <f t="shared" si="9"/>
        <v>95</v>
      </c>
      <c r="I104" s="67">
        <f t="shared" ca="1" si="3"/>
        <v>-1</v>
      </c>
      <c r="J104" s="68">
        <f t="shared" ca="1" si="4"/>
        <v>-1</v>
      </c>
      <c r="K104" s="69">
        <f t="shared" ca="1" si="5"/>
        <v>-27</v>
      </c>
      <c r="L104" s="42">
        <f t="shared" ca="1" si="6"/>
        <v>792</v>
      </c>
      <c r="M104" s="62">
        <f t="shared" si="11"/>
        <v>1</v>
      </c>
      <c r="N104" s="40">
        <f ca="1">AVERAGE(M104:OFFSET(M104,-(O$5-1),0))</f>
        <v>0.6</v>
      </c>
      <c r="O104" s="63">
        <f t="shared" ca="1" si="7"/>
        <v>-1</v>
      </c>
      <c r="P104" s="65">
        <f ca="1">AVERAGE(E104:OFFSET(E104,-(Q$5-1),0))</f>
        <v>5837.75</v>
      </c>
      <c r="Q104" s="41">
        <f ca="1">AVERAGE(E104:OFFSET(E104,-(Q$6-1),0))</f>
        <v>5998.8</v>
      </c>
      <c r="R104" s="63">
        <f t="shared" ca="1" si="8"/>
        <v>0</v>
      </c>
    </row>
    <row r="105" spans="1:18">
      <c r="A105" s="46">
        <v>20081006</v>
      </c>
      <c r="B105" s="47">
        <v>5488</v>
      </c>
      <c r="C105" s="47">
        <v>5500</v>
      </c>
      <c r="D105" s="47">
        <v>5382</v>
      </c>
      <c r="E105" s="47">
        <v>5387</v>
      </c>
      <c r="F105" s="48">
        <v>72476</v>
      </c>
      <c r="G105" s="57">
        <f t="shared" si="10"/>
        <v>-157</v>
      </c>
      <c r="H105" s="57">
        <f t="shared" si="9"/>
        <v>-101</v>
      </c>
      <c r="I105" s="67">
        <f t="shared" ca="1" si="3"/>
        <v>0</v>
      </c>
      <c r="J105" s="68">
        <f t="shared" ca="1" si="4"/>
        <v>-1</v>
      </c>
      <c r="K105" s="69">
        <f t="shared" ca="1" si="5"/>
        <v>258</v>
      </c>
      <c r="L105" s="42">
        <f t="shared" ca="1" si="6"/>
        <v>1050</v>
      </c>
      <c r="M105" s="62">
        <f t="shared" si="11"/>
        <v>0</v>
      </c>
      <c r="N105" s="40">
        <f ca="1">AVERAGE(M105:OFFSET(M105,-(O$5-1),0))</f>
        <v>0.5</v>
      </c>
      <c r="O105" s="63">
        <f t="shared" ca="1" si="7"/>
        <v>0</v>
      </c>
      <c r="P105" s="65">
        <f ca="1">AVERAGE(E105:OFFSET(E105,-(Q$5-1),0))</f>
        <v>5744.25</v>
      </c>
      <c r="Q105" s="41">
        <f ca="1">AVERAGE(E105:OFFSET(E105,-(Q$6-1),0))</f>
        <v>5955.95</v>
      </c>
      <c r="R105" s="63">
        <f t="shared" ca="1" si="8"/>
        <v>0</v>
      </c>
    </row>
    <row r="106" spans="1:18">
      <c r="A106" s="46">
        <v>20081007</v>
      </c>
      <c r="B106" s="47">
        <v>5250</v>
      </c>
      <c r="C106" s="47">
        <v>5485</v>
      </c>
      <c r="D106" s="47">
        <v>5222</v>
      </c>
      <c r="E106" s="47">
        <v>5445</v>
      </c>
      <c r="F106" s="48">
        <v>91113</v>
      </c>
      <c r="G106" s="57">
        <f t="shared" si="10"/>
        <v>-137</v>
      </c>
      <c r="H106" s="57">
        <f t="shared" si="9"/>
        <v>195</v>
      </c>
      <c r="I106" s="67">
        <f t="shared" ca="1" si="3"/>
        <v>0</v>
      </c>
      <c r="J106" s="68">
        <f t="shared" ca="1" si="4"/>
        <v>-1</v>
      </c>
      <c r="K106" s="69">
        <f t="shared" ca="1" si="5"/>
        <v>-58</v>
      </c>
      <c r="L106" s="42">
        <f t="shared" ca="1" si="6"/>
        <v>992</v>
      </c>
      <c r="M106" s="62">
        <f t="shared" si="11"/>
        <v>1</v>
      </c>
      <c r="N106" s="40">
        <f ca="1">AVERAGE(M106:OFFSET(M106,-(O$5-1),0))</f>
        <v>0.5</v>
      </c>
      <c r="O106" s="63">
        <f t="shared" ca="1" si="7"/>
        <v>0</v>
      </c>
      <c r="P106" s="65">
        <f ca="1">AVERAGE(E106:OFFSET(E106,-(Q$5-1),0))</f>
        <v>5655.5</v>
      </c>
      <c r="Q106" s="41">
        <f ca="1">AVERAGE(E106:OFFSET(E106,-(Q$6-1),0))</f>
        <v>5894.35</v>
      </c>
      <c r="R106" s="63">
        <f t="shared" ca="1" si="8"/>
        <v>0</v>
      </c>
    </row>
    <row r="107" spans="1:18">
      <c r="A107" s="46">
        <v>20081008</v>
      </c>
      <c r="B107" s="47">
        <v>5249</v>
      </c>
      <c r="C107" s="47">
        <v>5345</v>
      </c>
      <c r="D107" s="47">
        <v>5065</v>
      </c>
      <c r="E107" s="47">
        <v>5112</v>
      </c>
      <c r="F107" s="48">
        <v>105393</v>
      </c>
      <c r="G107" s="57">
        <f t="shared" si="10"/>
        <v>-196</v>
      </c>
      <c r="H107" s="57">
        <f t="shared" si="9"/>
        <v>-137</v>
      </c>
      <c r="I107" s="67">
        <f t="shared" ca="1" si="3"/>
        <v>0</v>
      </c>
      <c r="J107" s="68">
        <f t="shared" ca="1" si="4"/>
        <v>-1</v>
      </c>
      <c r="K107" s="69">
        <f t="shared" ca="1" si="5"/>
        <v>333</v>
      </c>
      <c r="L107" s="42">
        <f t="shared" ca="1" si="6"/>
        <v>1325</v>
      </c>
      <c r="M107" s="62">
        <f t="shared" si="11"/>
        <v>0</v>
      </c>
      <c r="N107" s="40">
        <f ca="1">AVERAGE(M107:OFFSET(M107,-(O$5-1),0))</f>
        <v>0.4</v>
      </c>
      <c r="O107" s="63">
        <f t="shared" ca="1" si="7"/>
        <v>0</v>
      </c>
      <c r="P107" s="65">
        <f ca="1">AVERAGE(E107:OFFSET(E107,-(Q$5-1),0))</f>
        <v>5537.25</v>
      </c>
      <c r="Q107" s="41">
        <f ca="1">AVERAGE(E107:OFFSET(E107,-(Q$6-1),0))</f>
        <v>5826.65</v>
      </c>
      <c r="R107" s="63">
        <f t="shared" ca="1" si="8"/>
        <v>0</v>
      </c>
    </row>
    <row r="108" spans="1:18">
      <c r="A108" s="46">
        <v>20081009</v>
      </c>
      <c r="B108" s="47">
        <v>5186</v>
      </c>
      <c r="C108" s="47">
        <v>5254</v>
      </c>
      <c r="D108" s="47">
        <v>5058</v>
      </c>
      <c r="E108" s="47">
        <v>5062</v>
      </c>
      <c r="F108" s="48">
        <v>110499</v>
      </c>
      <c r="G108" s="57">
        <f t="shared" si="10"/>
        <v>74</v>
      </c>
      <c r="H108" s="57">
        <f t="shared" si="9"/>
        <v>-124</v>
      </c>
      <c r="I108" s="67">
        <f t="shared" ca="1" si="3"/>
        <v>0</v>
      </c>
      <c r="J108" s="68">
        <f t="shared" ca="1" si="4"/>
        <v>-1</v>
      </c>
      <c r="K108" s="69">
        <f t="shared" ca="1" si="5"/>
        <v>50</v>
      </c>
      <c r="L108" s="42">
        <f t="shared" ca="1" si="6"/>
        <v>1375</v>
      </c>
      <c r="M108" s="62">
        <f t="shared" si="11"/>
        <v>0</v>
      </c>
      <c r="N108" s="40">
        <f ca="1">AVERAGE(M108:OFFSET(M108,-(O$5-1),0))</f>
        <v>0.3</v>
      </c>
      <c r="O108" s="63">
        <f t="shared" ca="1" si="7"/>
        <v>0</v>
      </c>
      <c r="P108" s="65">
        <f ca="1">AVERAGE(E108:OFFSET(E108,-(Q$5-1),0))</f>
        <v>5436.75</v>
      </c>
      <c r="Q108" s="41">
        <f ca="1">AVERAGE(E108:OFFSET(E108,-(Q$6-1),0))</f>
        <v>5757.1</v>
      </c>
      <c r="R108" s="63">
        <f t="shared" ca="1" si="8"/>
        <v>0</v>
      </c>
    </row>
    <row r="109" spans="1:18">
      <c r="A109" s="46">
        <v>20081013</v>
      </c>
      <c r="B109" s="47">
        <v>4885</v>
      </c>
      <c r="C109" s="47">
        <v>4978</v>
      </c>
      <c r="D109" s="47">
        <v>4885</v>
      </c>
      <c r="E109" s="47">
        <v>4945</v>
      </c>
      <c r="F109" s="48">
        <v>62516</v>
      </c>
      <c r="G109" s="57">
        <f t="shared" si="10"/>
        <v>-177</v>
      </c>
      <c r="H109" s="57">
        <f t="shared" si="9"/>
        <v>60</v>
      </c>
      <c r="I109" s="67">
        <f t="shared" ca="1" si="3"/>
        <v>0</v>
      </c>
      <c r="J109" s="68">
        <f t="shared" ca="1" si="4"/>
        <v>-1</v>
      </c>
      <c r="K109" s="69">
        <f t="shared" ca="1" si="5"/>
        <v>117</v>
      </c>
      <c r="L109" s="42">
        <f t="shared" ca="1" si="6"/>
        <v>1492</v>
      </c>
      <c r="M109" s="62">
        <f t="shared" si="11"/>
        <v>0</v>
      </c>
      <c r="N109" s="40">
        <f ca="1">AVERAGE(M109:OFFSET(M109,-(O$5-1),0))</f>
        <v>0.3</v>
      </c>
      <c r="O109" s="63">
        <f t="shared" ca="1" si="7"/>
        <v>0</v>
      </c>
      <c r="P109" s="65">
        <f ca="1">AVERAGE(E109:OFFSET(E109,-(Q$5-1),0))</f>
        <v>5361.25</v>
      </c>
      <c r="Q109" s="41">
        <f ca="1">AVERAGE(E109:OFFSET(E109,-(Q$6-1),0))</f>
        <v>5692.85</v>
      </c>
      <c r="R109" s="63">
        <f t="shared" ca="1" si="8"/>
        <v>0</v>
      </c>
    </row>
    <row r="110" spans="1:18">
      <c r="A110" s="46">
        <v>20081014</v>
      </c>
      <c r="B110" s="47">
        <v>5286</v>
      </c>
      <c r="C110" s="47">
        <v>5287</v>
      </c>
      <c r="D110" s="47">
        <v>5236</v>
      </c>
      <c r="E110" s="47">
        <v>5287</v>
      </c>
      <c r="F110" s="48">
        <v>40302</v>
      </c>
      <c r="G110" s="57">
        <f t="shared" si="10"/>
        <v>341</v>
      </c>
      <c r="H110" s="57">
        <f t="shared" si="9"/>
        <v>1</v>
      </c>
      <c r="I110" s="67">
        <f t="shared" ca="1" si="3"/>
        <v>0</v>
      </c>
      <c r="J110" s="68">
        <f t="shared" ca="1" si="4"/>
        <v>-1</v>
      </c>
      <c r="K110" s="69">
        <f t="shared" ca="1" si="5"/>
        <v>-342</v>
      </c>
      <c r="L110" s="42">
        <f t="shared" ca="1" si="6"/>
        <v>1150</v>
      </c>
      <c r="M110" s="62">
        <f t="shared" si="11"/>
        <v>1</v>
      </c>
      <c r="N110" s="40">
        <f ca="1">AVERAGE(M110:OFFSET(M110,-(O$5-1),0))</f>
        <v>0.4</v>
      </c>
      <c r="O110" s="63">
        <f t="shared" ca="1" si="7"/>
        <v>0</v>
      </c>
      <c r="P110" s="65">
        <f ca="1">AVERAGE(E110:OFFSET(E110,-(Q$5-1),0))</f>
        <v>5312.625</v>
      </c>
      <c r="Q110" s="41">
        <f ca="1">AVERAGE(E110:OFFSET(E110,-(Q$6-1),0))</f>
        <v>5642.8</v>
      </c>
      <c r="R110" s="63">
        <f t="shared" ca="1" si="8"/>
        <v>0</v>
      </c>
    </row>
    <row r="111" spans="1:18">
      <c r="A111" s="46">
        <v>20081015</v>
      </c>
      <c r="B111" s="47">
        <v>5192</v>
      </c>
      <c r="C111" s="47">
        <v>5229</v>
      </c>
      <c r="D111" s="47">
        <v>5078</v>
      </c>
      <c r="E111" s="47">
        <v>5160</v>
      </c>
      <c r="F111" s="48">
        <v>44644</v>
      </c>
      <c r="G111" s="57">
        <f t="shared" si="10"/>
        <v>-95</v>
      </c>
      <c r="H111" s="57">
        <f t="shared" si="9"/>
        <v>-32</v>
      </c>
      <c r="I111" s="67">
        <f t="shared" ca="1" si="3"/>
        <v>0</v>
      </c>
      <c r="J111" s="68">
        <f t="shared" ca="1" si="4"/>
        <v>-1</v>
      </c>
      <c r="K111" s="69">
        <f t="shared" ca="1" si="5"/>
        <v>127</v>
      </c>
      <c r="L111" s="42">
        <f t="shared" ca="1" si="6"/>
        <v>1277</v>
      </c>
      <c r="M111" s="62">
        <f t="shared" si="11"/>
        <v>0</v>
      </c>
      <c r="N111" s="40">
        <f ca="1">AVERAGE(M111:OFFSET(M111,-(O$5-1),0))</f>
        <v>0.4</v>
      </c>
      <c r="O111" s="63">
        <f t="shared" ca="1" si="7"/>
        <v>0</v>
      </c>
      <c r="P111" s="65">
        <f ca="1">AVERAGE(E111:OFFSET(E111,-(Q$5-1),0))</f>
        <v>5255.375</v>
      </c>
      <c r="Q111" s="41">
        <f ca="1">AVERAGE(E111:OFFSET(E111,-(Q$6-1),0))</f>
        <v>5602.45</v>
      </c>
      <c r="R111" s="63">
        <f t="shared" ca="1" si="8"/>
        <v>0</v>
      </c>
    </row>
    <row r="112" spans="1:18">
      <c r="A112" s="46">
        <v>20081016</v>
      </c>
      <c r="B112" s="47">
        <v>4978</v>
      </c>
      <c r="C112" s="47">
        <v>4978</v>
      </c>
      <c r="D112" s="47">
        <v>4978</v>
      </c>
      <c r="E112" s="47">
        <v>4978</v>
      </c>
      <c r="F112" s="48">
        <v>2305</v>
      </c>
      <c r="G112" s="57">
        <f t="shared" si="10"/>
        <v>-182</v>
      </c>
      <c r="H112" s="57">
        <f t="shared" si="9"/>
        <v>0</v>
      </c>
      <c r="I112" s="67">
        <f t="shared" ca="1" si="3"/>
        <v>0</v>
      </c>
      <c r="J112" s="68">
        <f t="shared" ca="1" si="4"/>
        <v>-1</v>
      </c>
      <c r="K112" s="69">
        <f t="shared" ca="1" si="5"/>
        <v>182</v>
      </c>
      <c r="L112" s="42">
        <f t="shared" ca="1" si="6"/>
        <v>1459</v>
      </c>
      <c r="M112" s="62">
        <f t="shared" si="11"/>
        <v>0</v>
      </c>
      <c r="N112" s="40">
        <f ca="1">AVERAGE(M112:OFFSET(M112,-(O$5-1),0))</f>
        <v>0.3</v>
      </c>
      <c r="O112" s="63">
        <f t="shared" ca="1" si="7"/>
        <v>0</v>
      </c>
      <c r="P112" s="65">
        <f ca="1">AVERAGE(E112:OFFSET(E112,-(Q$5-1),0))</f>
        <v>5172</v>
      </c>
      <c r="Q112" s="41">
        <f ca="1">AVERAGE(E112:OFFSET(E112,-(Q$6-1),0))</f>
        <v>5567.1</v>
      </c>
      <c r="R112" s="63">
        <f t="shared" ca="1" si="8"/>
        <v>0</v>
      </c>
    </row>
    <row r="113" spans="1:18">
      <c r="A113" s="46">
        <v>20081017</v>
      </c>
      <c r="B113" s="47">
        <v>4894</v>
      </c>
      <c r="C113" s="47">
        <v>4968</v>
      </c>
      <c r="D113" s="47">
        <v>4804</v>
      </c>
      <c r="E113" s="47">
        <v>4804</v>
      </c>
      <c r="F113" s="48">
        <v>72057</v>
      </c>
      <c r="G113" s="57">
        <f t="shared" si="10"/>
        <v>-84</v>
      </c>
      <c r="H113" s="57">
        <f t="shared" si="9"/>
        <v>-90</v>
      </c>
      <c r="I113" s="67">
        <f t="shared" ca="1" si="3"/>
        <v>0</v>
      </c>
      <c r="J113" s="68">
        <f t="shared" ca="1" si="4"/>
        <v>-1</v>
      </c>
      <c r="K113" s="69">
        <f t="shared" ca="1" si="5"/>
        <v>174</v>
      </c>
      <c r="L113" s="42">
        <f t="shared" ca="1" si="6"/>
        <v>1633</v>
      </c>
      <c r="M113" s="62">
        <f t="shared" si="11"/>
        <v>0</v>
      </c>
      <c r="N113" s="40">
        <f ca="1">AVERAGE(M113:OFFSET(M113,-(O$5-1),0))</f>
        <v>0.3</v>
      </c>
      <c r="O113" s="63">
        <f t="shared" ca="1" si="7"/>
        <v>0</v>
      </c>
      <c r="P113" s="65">
        <f ca="1">AVERAGE(E113:OFFSET(E113,-(Q$5-1),0))</f>
        <v>5099.125</v>
      </c>
      <c r="Q113" s="41">
        <f ca="1">AVERAGE(E113:OFFSET(E113,-(Q$6-1),0))</f>
        <v>5520.05</v>
      </c>
      <c r="R113" s="63">
        <f t="shared" ca="1" si="8"/>
        <v>0</v>
      </c>
    </row>
    <row r="114" spans="1:18">
      <c r="A114" s="46">
        <v>20081020</v>
      </c>
      <c r="B114" s="47">
        <v>4804</v>
      </c>
      <c r="C114" s="47">
        <v>4836</v>
      </c>
      <c r="D114" s="47">
        <v>4636</v>
      </c>
      <c r="E114" s="47">
        <v>4823</v>
      </c>
      <c r="F114" s="48">
        <v>85947</v>
      </c>
      <c r="G114" s="57">
        <f t="shared" si="10"/>
        <v>0</v>
      </c>
      <c r="H114" s="57">
        <f t="shared" si="9"/>
        <v>19</v>
      </c>
      <c r="I114" s="67">
        <f t="shared" ca="1" si="3"/>
        <v>0</v>
      </c>
      <c r="J114" s="68">
        <f t="shared" ca="1" si="4"/>
        <v>-1</v>
      </c>
      <c r="K114" s="69">
        <f t="shared" ca="1" si="5"/>
        <v>-19</v>
      </c>
      <c r="L114" s="42">
        <f t="shared" ca="1" si="6"/>
        <v>1614</v>
      </c>
      <c r="M114" s="62">
        <f t="shared" si="11"/>
        <v>1</v>
      </c>
      <c r="N114" s="40">
        <f ca="1">AVERAGE(M114:OFFSET(M114,-(O$5-1),0))</f>
        <v>0.3</v>
      </c>
      <c r="O114" s="63">
        <f t="shared" ca="1" si="7"/>
        <v>0</v>
      </c>
      <c r="P114" s="65">
        <f ca="1">AVERAGE(E114:OFFSET(E114,-(Q$5-1),0))</f>
        <v>5021.375</v>
      </c>
      <c r="Q114" s="41">
        <f ca="1">AVERAGE(E114:OFFSET(E114,-(Q$6-1),0))</f>
        <v>5485.1</v>
      </c>
      <c r="R114" s="63">
        <f t="shared" ca="1" si="8"/>
        <v>0</v>
      </c>
    </row>
    <row r="115" spans="1:18">
      <c r="A115" s="46">
        <v>20081021</v>
      </c>
      <c r="B115" s="47">
        <v>4930</v>
      </c>
      <c r="C115" s="47">
        <v>4950</v>
      </c>
      <c r="D115" s="47">
        <v>4735</v>
      </c>
      <c r="E115" s="47">
        <v>4817</v>
      </c>
      <c r="F115" s="48">
        <v>117258</v>
      </c>
      <c r="G115" s="57">
        <f t="shared" si="10"/>
        <v>107</v>
      </c>
      <c r="H115" s="57">
        <f t="shared" si="9"/>
        <v>-113</v>
      </c>
      <c r="I115" s="67">
        <f t="shared" ca="1" si="3"/>
        <v>0</v>
      </c>
      <c r="J115" s="68">
        <f t="shared" ca="1" si="4"/>
        <v>-1</v>
      </c>
      <c r="K115" s="69">
        <f t="shared" ca="1" si="5"/>
        <v>6</v>
      </c>
      <c r="L115" s="42">
        <f t="shared" ca="1" si="6"/>
        <v>1620</v>
      </c>
      <c r="M115" s="62">
        <f t="shared" si="11"/>
        <v>0</v>
      </c>
      <c r="N115" s="40">
        <f ca="1">AVERAGE(M115:OFFSET(M115,-(O$5-1),0))</f>
        <v>0.3</v>
      </c>
      <c r="O115" s="63">
        <f t="shared" ca="1" si="7"/>
        <v>0</v>
      </c>
      <c r="P115" s="65">
        <f ca="1">AVERAGE(E115:OFFSET(E115,-(Q$5-1),0))</f>
        <v>4984.5</v>
      </c>
      <c r="Q115" s="41">
        <f ca="1">AVERAGE(E115:OFFSET(E115,-(Q$6-1),0))</f>
        <v>5430.55</v>
      </c>
      <c r="R115" s="63">
        <f t="shared" ca="1" si="8"/>
        <v>0</v>
      </c>
    </row>
    <row r="116" spans="1:18">
      <c r="A116" s="46">
        <v>20081022</v>
      </c>
      <c r="B116" s="47">
        <v>4738</v>
      </c>
      <c r="C116" s="47">
        <v>4855</v>
      </c>
      <c r="D116" s="47">
        <v>4650</v>
      </c>
      <c r="E116" s="47">
        <v>4656</v>
      </c>
      <c r="F116" s="48">
        <v>113984</v>
      </c>
      <c r="G116" s="57">
        <f t="shared" si="10"/>
        <v>-79</v>
      </c>
      <c r="H116" s="57">
        <f t="shared" si="9"/>
        <v>-82</v>
      </c>
      <c r="I116" s="67">
        <f t="shared" ca="1" si="3"/>
        <v>1</v>
      </c>
      <c r="J116" s="68">
        <f t="shared" ca="1" si="4"/>
        <v>-1</v>
      </c>
      <c r="K116" s="69">
        <f t="shared" ca="1" si="5"/>
        <v>161</v>
      </c>
      <c r="L116" s="42">
        <f t="shared" ca="1" si="6"/>
        <v>1781</v>
      </c>
      <c r="M116" s="62">
        <f t="shared" si="11"/>
        <v>0</v>
      </c>
      <c r="N116" s="40">
        <f ca="1">AVERAGE(M116:OFFSET(M116,-(O$5-1),0))</f>
        <v>0.2</v>
      </c>
      <c r="O116" s="63">
        <f t="shared" ca="1" si="7"/>
        <v>1</v>
      </c>
      <c r="P116" s="65">
        <f ca="1">AVERAGE(E116:OFFSET(E116,-(Q$5-1),0))</f>
        <v>4933.75</v>
      </c>
      <c r="Q116" s="41">
        <f ca="1">AVERAGE(E116:OFFSET(E116,-(Q$6-1),0))</f>
        <v>5358.9</v>
      </c>
      <c r="R116" s="63">
        <f t="shared" ca="1" si="8"/>
        <v>0</v>
      </c>
    </row>
    <row r="117" spans="1:18">
      <c r="A117" s="46">
        <v>20081023</v>
      </c>
      <c r="B117" s="47">
        <v>4494</v>
      </c>
      <c r="C117" s="47">
        <v>4528</v>
      </c>
      <c r="D117" s="47">
        <v>4494</v>
      </c>
      <c r="E117" s="47">
        <v>4494</v>
      </c>
      <c r="F117" s="48">
        <v>28439</v>
      </c>
      <c r="G117" s="57">
        <f t="shared" si="10"/>
        <v>-162</v>
      </c>
      <c r="H117" s="57">
        <f t="shared" si="9"/>
        <v>0</v>
      </c>
      <c r="I117" s="67">
        <f t="shared" ref="I117:I152" ca="1" si="12">IF(OR(O117=1,R117=1),1,IF(OR(O117=-1,R117=-1),-1,0))</f>
        <v>1</v>
      </c>
      <c r="J117" s="68">
        <f t="shared" ref="J117:J152" ca="1" si="13">IF((J116+I116)&gt;=J$5, J$5, IF((J116+I116)&lt;=J$7, J$7, J116+I116))</f>
        <v>0</v>
      </c>
      <c r="K117" s="69">
        <f t="shared" ref="K117:K152" ca="1" si="14">J116*(G117+H117)+(J117-J116)*H117</f>
        <v>162</v>
      </c>
      <c r="L117" s="42">
        <f t="shared" ca="1" si="6"/>
        <v>1943</v>
      </c>
      <c r="M117" s="62">
        <f t="shared" si="11"/>
        <v>0</v>
      </c>
      <c r="N117" s="40">
        <f ca="1">AVERAGE(M117:OFFSET(M117,-(O$5-1),0))</f>
        <v>0.2</v>
      </c>
      <c r="O117" s="63">
        <f t="shared" ca="1" si="7"/>
        <v>1</v>
      </c>
      <c r="P117" s="65">
        <f ca="1">AVERAGE(E117:OFFSET(E117,-(Q$5-1),0))</f>
        <v>4877.375</v>
      </c>
      <c r="Q117" s="41">
        <f ca="1">AVERAGE(E117:OFFSET(E117,-(Q$6-1),0))</f>
        <v>5276.85</v>
      </c>
      <c r="R117" s="63">
        <f t="shared" ca="1" si="8"/>
        <v>0</v>
      </c>
    </row>
    <row r="118" spans="1:18">
      <c r="A118" s="46">
        <v>20081024</v>
      </c>
      <c r="B118" s="47">
        <v>4395</v>
      </c>
      <c r="C118" s="47">
        <v>4439</v>
      </c>
      <c r="D118" s="47">
        <v>4337</v>
      </c>
      <c r="E118" s="47">
        <v>4337</v>
      </c>
      <c r="F118" s="48">
        <v>31754</v>
      </c>
      <c r="G118" s="57">
        <f t="shared" si="10"/>
        <v>-99</v>
      </c>
      <c r="H118" s="57">
        <f t="shared" si="9"/>
        <v>-58</v>
      </c>
      <c r="I118" s="67">
        <f t="shared" ca="1" si="12"/>
        <v>1</v>
      </c>
      <c r="J118" s="68">
        <f t="shared" ca="1" si="13"/>
        <v>1</v>
      </c>
      <c r="K118" s="69">
        <f t="shared" ca="1" si="14"/>
        <v>-58</v>
      </c>
      <c r="L118" s="42">
        <f t="shared" ref="L118:L152" ca="1" si="15">L117+K118</f>
        <v>1885</v>
      </c>
      <c r="M118" s="62">
        <f t="shared" si="11"/>
        <v>0</v>
      </c>
      <c r="N118" s="40">
        <f ca="1">AVERAGE(M118:OFFSET(M118,-(O$5-1),0))</f>
        <v>0.2</v>
      </c>
      <c r="O118" s="63">
        <f t="shared" ref="O118:O152" ca="1" si="16">IF(N118&lt;=O$6, 1, IF(N118&gt;=O$7,-1, 0))</f>
        <v>1</v>
      </c>
      <c r="P118" s="65">
        <f ca="1">AVERAGE(E118:OFFSET(E118,-(Q$5-1),0))</f>
        <v>4758.625</v>
      </c>
      <c r="Q118" s="41">
        <f ca="1">AVERAGE(E118:OFFSET(E118,-(Q$6-1),0))</f>
        <v>5185.95</v>
      </c>
      <c r="R118" s="63">
        <f t="shared" ref="R118:R152" ca="1" si="17">IF(AND(P117&lt;=Q117,P118&gt;Q118),1,IF(AND(P117&gt;=Q117,P118&lt;Q118),-1,0))</f>
        <v>0</v>
      </c>
    </row>
    <row r="119" spans="1:18">
      <c r="A119" s="46">
        <v>20081027</v>
      </c>
      <c r="B119" s="47">
        <v>4126</v>
      </c>
      <c r="C119" s="47">
        <v>4226</v>
      </c>
      <c r="D119" s="47">
        <v>4034</v>
      </c>
      <c r="E119" s="47">
        <v>4034</v>
      </c>
      <c r="F119" s="48">
        <v>88702</v>
      </c>
      <c r="G119" s="57">
        <f t="shared" si="10"/>
        <v>-211</v>
      </c>
      <c r="H119" s="57">
        <f t="shared" si="9"/>
        <v>-92</v>
      </c>
      <c r="I119" s="67">
        <f t="shared" ca="1" si="12"/>
        <v>1</v>
      </c>
      <c r="J119" s="68">
        <f t="shared" ca="1" si="13"/>
        <v>1</v>
      </c>
      <c r="K119" s="69">
        <f t="shared" ca="1" si="14"/>
        <v>-303</v>
      </c>
      <c r="L119" s="42">
        <f t="shared" ca="1" si="15"/>
        <v>1582</v>
      </c>
      <c r="M119" s="62">
        <f t="shared" si="11"/>
        <v>0</v>
      </c>
      <c r="N119" s="40">
        <f ca="1">AVERAGE(M119:OFFSET(M119,-(O$5-1),0))</f>
        <v>0.2</v>
      </c>
      <c r="O119" s="63">
        <f t="shared" ca="1" si="16"/>
        <v>1</v>
      </c>
      <c r="P119" s="65">
        <f ca="1">AVERAGE(E119:OFFSET(E119,-(Q$5-1),0))</f>
        <v>4617.875</v>
      </c>
      <c r="Q119" s="41">
        <f ca="1">AVERAGE(E119:OFFSET(E119,-(Q$6-1),0))</f>
        <v>5084.75</v>
      </c>
      <c r="R119" s="63">
        <f t="shared" ca="1" si="17"/>
        <v>0</v>
      </c>
    </row>
    <row r="120" spans="1:18">
      <c r="A120" s="46">
        <v>20081028</v>
      </c>
      <c r="B120" s="47">
        <v>3921</v>
      </c>
      <c r="C120" s="47">
        <v>4316</v>
      </c>
      <c r="D120" s="47">
        <v>3811</v>
      </c>
      <c r="E120" s="47">
        <v>4316</v>
      </c>
      <c r="F120" s="48">
        <v>161939</v>
      </c>
      <c r="G120" s="57">
        <f t="shared" si="10"/>
        <v>-113</v>
      </c>
      <c r="H120" s="57">
        <f t="shared" si="9"/>
        <v>395</v>
      </c>
      <c r="I120" s="67">
        <f t="shared" ca="1" si="12"/>
        <v>1</v>
      </c>
      <c r="J120" s="68">
        <f t="shared" ca="1" si="13"/>
        <v>1</v>
      </c>
      <c r="K120" s="69">
        <f t="shared" ca="1" si="14"/>
        <v>282</v>
      </c>
      <c r="L120" s="42">
        <f t="shared" ca="1" si="15"/>
        <v>1864</v>
      </c>
      <c r="M120" s="62">
        <f t="shared" si="11"/>
        <v>1</v>
      </c>
      <c r="N120" s="40">
        <f ca="1">AVERAGE(M120:OFFSET(M120,-(O$5-1),0))</f>
        <v>0.2</v>
      </c>
      <c r="O120" s="63">
        <f t="shared" ca="1" si="16"/>
        <v>1</v>
      </c>
      <c r="P120" s="65">
        <f ca="1">AVERAGE(E120:OFFSET(E120,-(Q$5-1),0))</f>
        <v>4535.125</v>
      </c>
      <c r="Q120" s="41">
        <f ca="1">AVERAGE(E120:OFFSET(E120,-(Q$6-1),0))</f>
        <v>5007.25</v>
      </c>
      <c r="R120" s="63">
        <f t="shared" ca="1" si="17"/>
        <v>0</v>
      </c>
    </row>
    <row r="121" spans="1:18">
      <c r="A121" s="46">
        <v>20081029</v>
      </c>
      <c r="B121" s="47">
        <v>4618</v>
      </c>
      <c r="C121" s="47">
        <v>4618</v>
      </c>
      <c r="D121" s="47">
        <v>4212</v>
      </c>
      <c r="E121" s="47">
        <v>4288</v>
      </c>
      <c r="F121" s="48">
        <v>170104</v>
      </c>
      <c r="G121" s="57">
        <f t="shared" si="10"/>
        <v>302</v>
      </c>
      <c r="H121" s="57">
        <f t="shared" si="9"/>
        <v>-330</v>
      </c>
      <c r="I121" s="67">
        <f t="shared" ca="1" si="12"/>
        <v>1</v>
      </c>
      <c r="J121" s="68">
        <f t="shared" ca="1" si="13"/>
        <v>1</v>
      </c>
      <c r="K121" s="69">
        <f t="shared" ca="1" si="14"/>
        <v>-28</v>
      </c>
      <c r="L121" s="42">
        <f t="shared" ca="1" si="15"/>
        <v>1836</v>
      </c>
      <c r="M121" s="62">
        <f t="shared" si="11"/>
        <v>0</v>
      </c>
      <c r="N121" s="40">
        <f ca="1">AVERAGE(M121:OFFSET(M121,-(O$5-1),0))</f>
        <v>0.2</v>
      </c>
      <c r="O121" s="63">
        <f t="shared" ca="1" si="16"/>
        <v>1</v>
      </c>
      <c r="P121" s="65">
        <f ca="1">AVERAGE(E121:OFFSET(E121,-(Q$5-1),0))</f>
        <v>4470.625</v>
      </c>
      <c r="Q121" s="41">
        <f ca="1">AVERAGE(E121:OFFSET(E121,-(Q$6-1),0))</f>
        <v>4944.2</v>
      </c>
      <c r="R121" s="63">
        <f t="shared" ca="1" si="17"/>
        <v>0</v>
      </c>
    </row>
    <row r="122" spans="1:18">
      <c r="A122" s="46">
        <v>20081030</v>
      </c>
      <c r="B122" s="47">
        <v>4376</v>
      </c>
      <c r="C122" s="47">
        <v>4594</v>
      </c>
      <c r="D122" s="47">
        <v>4361</v>
      </c>
      <c r="E122" s="47">
        <v>4594</v>
      </c>
      <c r="F122" s="48">
        <v>71639</v>
      </c>
      <c r="G122" s="57">
        <f t="shared" si="10"/>
        <v>88</v>
      </c>
      <c r="H122" s="57">
        <f t="shared" si="9"/>
        <v>218</v>
      </c>
      <c r="I122" s="67">
        <f t="shared" ca="1" si="12"/>
        <v>0</v>
      </c>
      <c r="J122" s="68">
        <f t="shared" ca="1" si="13"/>
        <v>1</v>
      </c>
      <c r="K122" s="69">
        <f t="shared" ca="1" si="14"/>
        <v>306</v>
      </c>
      <c r="L122" s="42">
        <f t="shared" ca="1" si="15"/>
        <v>2142</v>
      </c>
      <c r="M122" s="62">
        <f t="shared" si="11"/>
        <v>1</v>
      </c>
      <c r="N122" s="40">
        <f ca="1">AVERAGE(M122:OFFSET(M122,-(O$5-1),0))</f>
        <v>0.3</v>
      </c>
      <c r="O122" s="63">
        <f t="shared" ca="1" si="16"/>
        <v>0</v>
      </c>
      <c r="P122" s="65">
        <f ca="1">AVERAGE(E122:OFFSET(E122,-(Q$5-1),0))</f>
        <v>4442</v>
      </c>
      <c r="Q122" s="41">
        <f ca="1">AVERAGE(E122:OFFSET(E122,-(Q$6-1),0))</f>
        <v>4890.1000000000004</v>
      </c>
      <c r="R122" s="63">
        <f t="shared" ca="1" si="17"/>
        <v>0</v>
      </c>
    </row>
    <row r="123" spans="1:18">
      <c r="A123" s="46">
        <v>20081031</v>
      </c>
      <c r="B123" s="47">
        <v>4594</v>
      </c>
      <c r="C123" s="47">
        <v>4910</v>
      </c>
      <c r="D123" s="47">
        <v>4530</v>
      </c>
      <c r="E123" s="47">
        <v>4844</v>
      </c>
      <c r="F123" s="48">
        <v>171585</v>
      </c>
      <c r="G123" s="57">
        <f t="shared" si="10"/>
        <v>0</v>
      </c>
      <c r="H123" s="57">
        <f t="shared" si="9"/>
        <v>250</v>
      </c>
      <c r="I123" s="67">
        <f t="shared" ca="1" si="12"/>
        <v>0</v>
      </c>
      <c r="J123" s="68">
        <f t="shared" ca="1" si="13"/>
        <v>1</v>
      </c>
      <c r="K123" s="69">
        <f t="shared" ca="1" si="14"/>
        <v>250</v>
      </c>
      <c r="L123" s="42">
        <f t="shared" ca="1" si="15"/>
        <v>2392</v>
      </c>
      <c r="M123" s="62">
        <f t="shared" si="11"/>
        <v>1</v>
      </c>
      <c r="N123" s="40">
        <f ca="1">AVERAGE(M123:OFFSET(M123,-(O$5-1),0))</f>
        <v>0.4</v>
      </c>
      <c r="O123" s="63">
        <f t="shared" ca="1" si="16"/>
        <v>0</v>
      </c>
      <c r="P123" s="65">
        <f ca="1">AVERAGE(E123:OFFSET(E123,-(Q$5-1),0))</f>
        <v>4445.375</v>
      </c>
      <c r="Q123" s="41">
        <f ca="1">AVERAGE(E123:OFFSET(E123,-(Q$6-1),0))</f>
        <v>4851.3999999999996</v>
      </c>
      <c r="R123" s="63">
        <f t="shared" ca="1" si="17"/>
        <v>0</v>
      </c>
    </row>
    <row r="124" spans="1:18">
      <c r="A124" s="46">
        <v>20081103</v>
      </c>
      <c r="B124" s="47">
        <v>4910</v>
      </c>
      <c r="C124" s="47">
        <v>4994</v>
      </c>
      <c r="D124" s="47">
        <v>4784</v>
      </c>
      <c r="E124" s="47">
        <v>4992</v>
      </c>
      <c r="F124" s="48">
        <v>146385</v>
      </c>
      <c r="G124" s="57">
        <f t="shared" si="10"/>
        <v>66</v>
      </c>
      <c r="H124" s="57">
        <f t="shared" si="9"/>
        <v>82</v>
      </c>
      <c r="I124" s="67">
        <f t="shared" ca="1" si="12"/>
        <v>0</v>
      </c>
      <c r="J124" s="68">
        <f t="shared" ca="1" si="13"/>
        <v>1</v>
      </c>
      <c r="K124" s="69">
        <f t="shared" ca="1" si="14"/>
        <v>148</v>
      </c>
      <c r="L124" s="42">
        <f t="shared" ca="1" si="15"/>
        <v>2540</v>
      </c>
      <c r="M124" s="62">
        <f t="shared" si="11"/>
        <v>1</v>
      </c>
      <c r="N124" s="40">
        <f ca="1">AVERAGE(M124:OFFSET(M124,-(O$5-1),0))</f>
        <v>0.4</v>
      </c>
      <c r="O124" s="63">
        <f t="shared" ca="1" si="16"/>
        <v>0</v>
      </c>
      <c r="P124" s="65">
        <f ca="1">AVERAGE(E124:OFFSET(E124,-(Q$5-1),0))</f>
        <v>4487.375</v>
      </c>
      <c r="Q124" s="41">
        <f ca="1">AVERAGE(E124:OFFSET(E124,-(Q$6-1),0))</f>
        <v>4818.75</v>
      </c>
      <c r="R124" s="63">
        <f t="shared" ca="1" si="17"/>
        <v>0</v>
      </c>
    </row>
    <row r="125" spans="1:18">
      <c r="A125" s="46">
        <v>20081104</v>
      </c>
      <c r="B125" s="47">
        <v>4965</v>
      </c>
      <c r="C125" s="47">
        <v>5007</v>
      </c>
      <c r="D125" s="47">
        <v>4836</v>
      </c>
      <c r="E125" s="47">
        <v>4978</v>
      </c>
      <c r="F125" s="48">
        <v>130800</v>
      </c>
      <c r="G125" s="57">
        <f t="shared" si="10"/>
        <v>-27</v>
      </c>
      <c r="H125" s="57">
        <f t="shared" si="9"/>
        <v>13</v>
      </c>
      <c r="I125" s="67">
        <f t="shared" ca="1" si="12"/>
        <v>0</v>
      </c>
      <c r="J125" s="68">
        <f t="shared" ca="1" si="13"/>
        <v>1</v>
      </c>
      <c r="K125" s="69">
        <f t="shared" ca="1" si="14"/>
        <v>-14</v>
      </c>
      <c r="L125" s="42">
        <f t="shared" ca="1" si="15"/>
        <v>2526</v>
      </c>
      <c r="M125" s="62">
        <f t="shared" si="11"/>
        <v>0</v>
      </c>
      <c r="N125" s="40">
        <f ca="1">AVERAGE(M125:OFFSET(M125,-(O$5-1),0))</f>
        <v>0.4</v>
      </c>
      <c r="O125" s="63">
        <f t="shared" ca="1" si="16"/>
        <v>0</v>
      </c>
      <c r="P125" s="65">
        <f ca="1">AVERAGE(E125:OFFSET(E125,-(Q$5-1),0))</f>
        <v>4547.875</v>
      </c>
      <c r="Q125" s="41">
        <f ca="1">AVERAGE(E125:OFFSET(E125,-(Q$6-1),0))</f>
        <v>4798.3</v>
      </c>
      <c r="R125" s="63">
        <f t="shared" ca="1" si="17"/>
        <v>0</v>
      </c>
    </row>
    <row r="126" spans="1:18">
      <c r="A126" s="46">
        <v>20081105</v>
      </c>
      <c r="B126" s="47">
        <v>5080</v>
      </c>
      <c r="C126" s="47">
        <v>5100</v>
      </c>
      <c r="D126" s="47">
        <v>4893</v>
      </c>
      <c r="E126" s="47">
        <v>4900</v>
      </c>
      <c r="F126" s="48">
        <v>134168</v>
      </c>
      <c r="G126" s="57">
        <f t="shared" si="10"/>
        <v>102</v>
      </c>
      <c r="H126" s="57">
        <f t="shared" si="9"/>
        <v>-180</v>
      </c>
      <c r="I126" s="67">
        <f t="shared" ca="1" si="12"/>
        <v>0</v>
      </c>
      <c r="J126" s="68">
        <f t="shared" ca="1" si="13"/>
        <v>1</v>
      </c>
      <c r="K126" s="69">
        <f t="shared" ca="1" si="14"/>
        <v>-78</v>
      </c>
      <c r="L126" s="42">
        <f t="shared" ca="1" si="15"/>
        <v>2448</v>
      </c>
      <c r="M126" s="62">
        <f t="shared" si="11"/>
        <v>0</v>
      </c>
      <c r="N126" s="40">
        <f ca="1">AVERAGE(M126:OFFSET(M126,-(O$5-1),0))</f>
        <v>0.4</v>
      </c>
      <c r="O126" s="63">
        <f t="shared" ca="1" si="16"/>
        <v>0</v>
      </c>
      <c r="P126" s="65">
        <f ca="1">AVERAGE(E126:OFFSET(E126,-(Q$5-1),0))</f>
        <v>4618.25</v>
      </c>
      <c r="Q126" s="41">
        <f ca="1">AVERAGE(E126:OFFSET(E126,-(Q$6-1),0))</f>
        <v>4771.05</v>
      </c>
      <c r="R126" s="63">
        <f t="shared" ca="1" si="17"/>
        <v>0</v>
      </c>
    </row>
    <row r="127" spans="1:18">
      <c r="A127" s="46">
        <v>20081106</v>
      </c>
      <c r="B127" s="47">
        <v>4680</v>
      </c>
      <c r="C127" s="47">
        <v>4700</v>
      </c>
      <c r="D127" s="47">
        <v>4557</v>
      </c>
      <c r="E127" s="47">
        <v>4557</v>
      </c>
      <c r="F127" s="48">
        <v>61042</v>
      </c>
      <c r="G127" s="57">
        <f t="shared" si="10"/>
        <v>-220</v>
      </c>
      <c r="H127" s="57">
        <f t="shared" si="9"/>
        <v>-123</v>
      </c>
      <c r="I127" s="67">
        <f t="shared" ca="1" si="12"/>
        <v>0</v>
      </c>
      <c r="J127" s="68">
        <f t="shared" ca="1" si="13"/>
        <v>1</v>
      </c>
      <c r="K127" s="69">
        <f t="shared" ca="1" si="14"/>
        <v>-343</v>
      </c>
      <c r="L127" s="42">
        <f t="shared" ca="1" si="15"/>
        <v>2105</v>
      </c>
      <c r="M127" s="62">
        <f t="shared" si="11"/>
        <v>0</v>
      </c>
      <c r="N127" s="40">
        <f ca="1">AVERAGE(M127:OFFSET(M127,-(O$5-1),0))</f>
        <v>0.4</v>
      </c>
      <c r="O127" s="63">
        <f t="shared" ca="1" si="16"/>
        <v>0</v>
      </c>
      <c r="P127" s="65">
        <f ca="1">AVERAGE(E127:OFFSET(E127,-(Q$5-1),0))</f>
        <v>4683.625</v>
      </c>
      <c r="Q127" s="41">
        <f ca="1">AVERAGE(E127:OFFSET(E127,-(Q$6-1),0))</f>
        <v>4743.3</v>
      </c>
      <c r="R127" s="63">
        <f t="shared" ca="1" si="17"/>
        <v>0</v>
      </c>
    </row>
    <row r="128" spans="1:18">
      <c r="A128" s="46">
        <v>20081107</v>
      </c>
      <c r="B128" s="47">
        <v>4310</v>
      </c>
      <c r="C128" s="47">
        <v>4662</v>
      </c>
      <c r="D128" s="47">
        <v>4272</v>
      </c>
      <c r="E128" s="47">
        <v>4633</v>
      </c>
      <c r="F128" s="48">
        <v>167885</v>
      </c>
      <c r="G128" s="57">
        <f t="shared" si="10"/>
        <v>-247</v>
      </c>
      <c r="H128" s="57">
        <f t="shared" si="9"/>
        <v>323</v>
      </c>
      <c r="I128" s="67">
        <f t="shared" ca="1" si="12"/>
        <v>1</v>
      </c>
      <c r="J128" s="68">
        <f t="shared" ca="1" si="13"/>
        <v>1</v>
      </c>
      <c r="K128" s="69">
        <f t="shared" ca="1" si="14"/>
        <v>76</v>
      </c>
      <c r="L128" s="42">
        <f t="shared" ca="1" si="15"/>
        <v>2181</v>
      </c>
      <c r="M128" s="62">
        <f t="shared" si="11"/>
        <v>1</v>
      </c>
      <c r="N128" s="40">
        <f ca="1">AVERAGE(M128:OFFSET(M128,-(O$5-1),0))</f>
        <v>0.5</v>
      </c>
      <c r="O128" s="63">
        <f t="shared" ca="1" si="16"/>
        <v>0</v>
      </c>
      <c r="P128" s="65">
        <f ca="1">AVERAGE(E128:OFFSET(E128,-(Q$5-1),0))</f>
        <v>4723.25</v>
      </c>
      <c r="Q128" s="41">
        <f ca="1">AVERAGE(E128:OFFSET(E128,-(Q$6-1),0))</f>
        <v>4721.8500000000004</v>
      </c>
      <c r="R128" s="63">
        <f t="shared" ca="1" si="17"/>
        <v>1</v>
      </c>
    </row>
    <row r="129" spans="1:18">
      <c r="A129" s="46">
        <v>20081110</v>
      </c>
      <c r="B129" s="47">
        <v>4658</v>
      </c>
      <c r="C129" s="47">
        <v>4692</v>
      </c>
      <c r="D129" s="47">
        <v>4551</v>
      </c>
      <c r="E129" s="47">
        <v>4632</v>
      </c>
      <c r="F129" s="48">
        <v>118290</v>
      </c>
      <c r="G129" s="57">
        <f t="shared" si="10"/>
        <v>25</v>
      </c>
      <c r="H129" s="57">
        <f t="shared" si="9"/>
        <v>-26</v>
      </c>
      <c r="I129" s="67">
        <f t="shared" ca="1" si="12"/>
        <v>0</v>
      </c>
      <c r="J129" s="68">
        <f t="shared" ca="1" si="13"/>
        <v>1</v>
      </c>
      <c r="K129" s="69">
        <f t="shared" ca="1" si="14"/>
        <v>-1</v>
      </c>
      <c r="L129" s="42">
        <f t="shared" ca="1" si="15"/>
        <v>2180</v>
      </c>
      <c r="M129" s="62">
        <f t="shared" si="11"/>
        <v>0</v>
      </c>
      <c r="N129" s="40">
        <f ca="1">AVERAGE(M129:OFFSET(M129,-(O$5-1),0))</f>
        <v>0.5</v>
      </c>
      <c r="O129" s="63">
        <f t="shared" ca="1" si="16"/>
        <v>0</v>
      </c>
      <c r="P129" s="65">
        <f ca="1">AVERAGE(E129:OFFSET(E129,-(Q$5-1),0))</f>
        <v>4766.25</v>
      </c>
      <c r="Q129" s="41">
        <f ca="1">AVERAGE(E129:OFFSET(E129,-(Q$6-1),0))</f>
        <v>4706.2</v>
      </c>
      <c r="R129" s="63">
        <f t="shared" ca="1" si="17"/>
        <v>0</v>
      </c>
    </row>
    <row r="130" spans="1:18">
      <c r="A130" s="46">
        <v>20081111</v>
      </c>
      <c r="B130" s="47">
        <v>4477</v>
      </c>
      <c r="C130" s="47">
        <v>4645</v>
      </c>
      <c r="D130" s="47">
        <v>4465</v>
      </c>
      <c r="E130" s="47">
        <v>4474</v>
      </c>
      <c r="F130" s="48">
        <v>120642</v>
      </c>
      <c r="G130" s="57">
        <f t="shared" si="10"/>
        <v>-155</v>
      </c>
      <c r="H130" s="57">
        <f t="shared" si="9"/>
        <v>-3</v>
      </c>
      <c r="I130" s="67">
        <f t="shared" ca="1" si="12"/>
        <v>0</v>
      </c>
      <c r="J130" s="68">
        <f t="shared" ca="1" si="13"/>
        <v>1</v>
      </c>
      <c r="K130" s="69">
        <f t="shared" ca="1" si="14"/>
        <v>-158</v>
      </c>
      <c r="L130" s="42">
        <f t="shared" ca="1" si="15"/>
        <v>2022</v>
      </c>
      <c r="M130" s="62">
        <f t="shared" si="11"/>
        <v>0</v>
      </c>
      <c r="N130" s="40">
        <f ca="1">AVERAGE(M130:OFFSET(M130,-(O$5-1),0))</f>
        <v>0.4</v>
      </c>
      <c r="O130" s="63">
        <f t="shared" ca="1" si="16"/>
        <v>0</v>
      </c>
      <c r="P130" s="65">
        <f ca="1">AVERAGE(E130:OFFSET(E130,-(Q$5-1),0))</f>
        <v>4751.25</v>
      </c>
      <c r="Q130" s="41">
        <f ca="1">AVERAGE(E130:OFFSET(E130,-(Q$6-1),0))</f>
        <v>4665.55</v>
      </c>
      <c r="R130" s="63">
        <f t="shared" ca="1" si="17"/>
        <v>0</v>
      </c>
    </row>
    <row r="131" spans="1:18">
      <c r="A131" s="46">
        <v>20081112</v>
      </c>
      <c r="B131" s="47">
        <v>4488</v>
      </c>
      <c r="C131" s="47">
        <v>4596</v>
      </c>
      <c r="D131" s="47">
        <v>4420</v>
      </c>
      <c r="E131" s="47">
        <v>4521</v>
      </c>
      <c r="F131" s="48">
        <v>126301</v>
      </c>
      <c r="G131" s="57">
        <f t="shared" si="10"/>
        <v>14</v>
      </c>
      <c r="H131" s="57">
        <f t="shared" si="9"/>
        <v>33</v>
      </c>
      <c r="I131" s="67">
        <f t="shared" ca="1" si="12"/>
        <v>0</v>
      </c>
      <c r="J131" s="68">
        <f t="shared" ca="1" si="13"/>
        <v>1</v>
      </c>
      <c r="K131" s="69">
        <f t="shared" ca="1" si="14"/>
        <v>47</v>
      </c>
      <c r="L131" s="42">
        <f t="shared" ca="1" si="15"/>
        <v>2069</v>
      </c>
      <c r="M131" s="62">
        <f t="shared" si="11"/>
        <v>1</v>
      </c>
      <c r="N131" s="40">
        <f ca="1">AVERAGE(M131:OFFSET(M131,-(O$5-1),0))</f>
        <v>0.5</v>
      </c>
      <c r="O131" s="63">
        <f t="shared" ca="1" si="16"/>
        <v>0</v>
      </c>
      <c r="P131" s="65">
        <f ca="1">AVERAGE(E131:OFFSET(E131,-(Q$5-1),0))</f>
        <v>4710.875</v>
      </c>
      <c r="Q131" s="41">
        <f ca="1">AVERAGE(E131:OFFSET(E131,-(Q$6-1),0))</f>
        <v>4633.6000000000004</v>
      </c>
      <c r="R131" s="63">
        <f t="shared" ca="1" si="17"/>
        <v>0</v>
      </c>
    </row>
    <row r="132" spans="1:18">
      <c r="A132" s="46">
        <v>20081113</v>
      </c>
      <c r="B132" s="47">
        <v>4305</v>
      </c>
      <c r="C132" s="47">
        <v>4331</v>
      </c>
      <c r="D132" s="47">
        <v>4206</v>
      </c>
      <c r="E132" s="47">
        <v>4285</v>
      </c>
      <c r="F132" s="48">
        <v>94643</v>
      </c>
      <c r="G132" s="57">
        <f t="shared" si="10"/>
        <v>-216</v>
      </c>
      <c r="H132" s="57">
        <f t="shared" ref="H132:H152" si="18">E132-B132</f>
        <v>-20</v>
      </c>
      <c r="I132" s="67">
        <f t="shared" ca="1" si="12"/>
        <v>0</v>
      </c>
      <c r="J132" s="68">
        <f t="shared" ca="1" si="13"/>
        <v>1</v>
      </c>
      <c r="K132" s="69">
        <f t="shared" ca="1" si="14"/>
        <v>-236</v>
      </c>
      <c r="L132" s="42">
        <f t="shared" ca="1" si="15"/>
        <v>1833</v>
      </c>
      <c r="M132" s="62">
        <f t="shared" si="11"/>
        <v>0</v>
      </c>
      <c r="N132" s="40">
        <f ca="1">AVERAGE(M132:OFFSET(M132,-(O$5-1),0))</f>
        <v>0.4</v>
      </c>
      <c r="O132" s="63">
        <f t="shared" ca="1" si="16"/>
        <v>0</v>
      </c>
      <c r="P132" s="65">
        <f ca="1">AVERAGE(E132:OFFSET(E132,-(Q$5-1),0))</f>
        <v>4622.5</v>
      </c>
      <c r="Q132" s="41">
        <f ca="1">AVERAGE(E132:OFFSET(E132,-(Q$6-1),0))</f>
        <v>4598.95</v>
      </c>
      <c r="R132" s="63">
        <f t="shared" ca="1" si="17"/>
        <v>0</v>
      </c>
    </row>
    <row r="133" spans="1:18">
      <c r="A133" s="46">
        <v>20081114</v>
      </c>
      <c r="B133" s="47">
        <v>4499</v>
      </c>
      <c r="C133" s="47">
        <v>4514</v>
      </c>
      <c r="D133" s="47">
        <v>4345</v>
      </c>
      <c r="E133" s="47">
        <v>4380</v>
      </c>
      <c r="F133" s="48">
        <v>113760</v>
      </c>
      <c r="G133" s="57">
        <f t="shared" ref="G133:G152" si="19">B133-E132</f>
        <v>214</v>
      </c>
      <c r="H133" s="57">
        <f t="shared" si="18"/>
        <v>-119</v>
      </c>
      <c r="I133" s="67">
        <f t="shared" ca="1" si="12"/>
        <v>-1</v>
      </c>
      <c r="J133" s="68">
        <f t="shared" ca="1" si="13"/>
        <v>1</v>
      </c>
      <c r="K133" s="69">
        <f t="shared" ca="1" si="14"/>
        <v>95</v>
      </c>
      <c r="L133" s="42">
        <f t="shared" ca="1" si="15"/>
        <v>1928</v>
      </c>
      <c r="M133" s="62">
        <f t="shared" ref="M133:M152" si="20">IF(E133&gt;E132,1,0)</f>
        <v>1</v>
      </c>
      <c r="N133" s="40">
        <f ca="1">AVERAGE(M133:OFFSET(M133,-(O$5-1),0))</f>
        <v>0.4</v>
      </c>
      <c r="O133" s="63">
        <f t="shared" ca="1" si="16"/>
        <v>0</v>
      </c>
      <c r="P133" s="65">
        <f ca="1">AVERAGE(E133:OFFSET(E133,-(Q$5-1),0))</f>
        <v>4547.75</v>
      </c>
      <c r="Q133" s="41">
        <f ca="1">AVERAGE(E133:OFFSET(E133,-(Q$6-1),0))</f>
        <v>4577.75</v>
      </c>
      <c r="R133" s="63">
        <f t="shared" ca="1" si="17"/>
        <v>-1</v>
      </c>
    </row>
    <row r="134" spans="1:18">
      <c r="A134" s="46">
        <v>20081117</v>
      </c>
      <c r="B134" s="47">
        <v>4280</v>
      </c>
      <c r="C134" s="47">
        <v>4432</v>
      </c>
      <c r="D134" s="47">
        <v>4263</v>
      </c>
      <c r="E134" s="47">
        <v>4357</v>
      </c>
      <c r="F134" s="48">
        <v>103013</v>
      </c>
      <c r="G134" s="57">
        <f t="shared" si="19"/>
        <v>-100</v>
      </c>
      <c r="H134" s="57">
        <f t="shared" si="18"/>
        <v>77</v>
      </c>
      <c r="I134" s="67">
        <f t="shared" ca="1" si="12"/>
        <v>0</v>
      </c>
      <c r="J134" s="68">
        <f t="shared" ca="1" si="13"/>
        <v>0</v>
      </c>
      <c r="K134" s="69">
        <f t="shared" ca="1" si="14"/>
        <v>-100</v>
      </c>
      <c r="L134" s="42">
        <f t="shared" ca="1" si="15"/>
        <v>1828</v>
      </c>
      <c r="M134" s="62">
        <f t="shared" si="20"/>
        <v>0</v>
      </c>
      <c r="N134" s="40">
        <f ca="1">AVERAGE(M134:OFFSET(M134,-(O$5-1),0))</f>
        <v>0.3</v>
      </c>
      <c r="O134" s="63">
        <f t="shared" ca="1" si="16"/>
        <v>0</v>
      </c>
      <c r="P134" s="65">
        <f ca="1">AVERAGE(E134:OFFSET(E134,-(Q$5-1),0))</f>
        <v>4479.875</v>
      </c>
      <c r="Q134" s="41">
        <f ca="1">AVERAGE(E134:OFFSET(E134,-(Q$6-1),0))</f>
        <v>4554.45</v>
      </c>
      <c r="R134" s="63">
        <f t="shared" ca="1" si="17"/>
        <v>0</v>
      </c>
    </row>
    <row r="135" spans="1:18">
      <c r="A135" s="46">
        <v>20081118</v>
      </c>
      <c r="B135" s="47">
        <v>4351</v>
      </c>
      <c r="C135" s="47">
        <v>4351</v>
      </c>
      <c r="D135" s="47">
        <v>4207</v>
      </c>
      <c r="E135" s="47">
        <v>4244</v>
      </c>
      <c r="F135" s="48">
        <v>97510</v>
      </c>
      <c r="G135" s="57">
        <f t="shared" si="19"/>
        <v>-6</v>
      </c>
      <c r="H135" s="57">
        <f t="shared" si="18"/>
        <v>-107</v>
      </c>
      <c r="I135" s="67">
        <f t="shared" ca="1" si="12"/>
        <v>0</v>
      </c>
      <c r="J135" s="68">
        <f t="shared" ca="1" si="13"/>
        <v>0</v>
      </c>
      <c r="K135" s="69">
        <f t="shared" ca="1" si="14"/>
        <v>0</v>
      </c>
      <c r="L135" s="42">
        <f t="shared" ca="1" si="15"/>
        <v>1828</v>
      </c>
      <c r="M135" s="62">
        <f t="shared" si="20"/>
        <v>0</v>
      </c>
      <c r="N135" s="40">
        <f ca="1">AVERAGE(M135:OFFSET(M135,-(O$5-1),0))</f>
        <v>0.3</v>
      </c>
      <c r="O135" s="63">
        <f t="shared" ca="1" si="16"/>
        <v>0</v>
      </c>
      <c r="P135" s="65">
        <f ca="1">AVERAGE(E135:OFFSET(E135,-(Q$5-1),0))</f>
        <v>4440.75</v>
      </c>
      <c r="Q135" s="41">
        <f ca="1">AVERAGE(E135:OFFSET(E135,-(Q$6-1),0))</f>
        <v>4525.8</v>
      </c>
      <c r="R135" s="63">
        <f t="shared" ca="1" si="17"/>
        <v>0</v>
      </c>
    </row>
    <row r="136" spans="1:18">
      <c r="A136" s="46">
        <v>20081119</v>
      </c>
      <c r="B136" s="47">
        <v>4111</v>
      </c>
      <c r="C136" s="47">
        <v>4165</v>
      </c>
      <c r="D136" s="47">
        <v>4070</v>
      </c>
      <c r="E136" s="47">
        <v>4149</v>
      </c>
      <c r="F136" s="48">
        <v>47938</v>
      </c>
      <c r="G136" s="57">
        <f t="shared" si="19"/>
        <v>-133</v>
      </c>
      <c r="H136" s="57">
        <f t="shared" si="18"/>
        <v>38</v>
      </c>
      <c r="I136" s="67">
        <f t="shared" ca="1" si="12"/>
        <v>0</v>
      </c>
      <c r="J136" s="68">
        <f t="shared" ca="1" si="13"/>
        <v>0</v>
      </c>
      <c r="K136" s="69">
        <f t="shared" ca="1" si="14"/>
        <v>0</v>
      </c>
      <c r="L136" s="42">
        <f t="shared" ca="1" si="15"/>
        <v>1828</v>
      </c>
      <c r="M136" s="62">
        <f t="shared" si="20"/>
        <v>0</v>
      </c>
      <c r="N136" s="40">
        <f ca="1">AVERAGE(M136:OFFSET(M136,-(O$5-1),0))</f>
        <v>0.3</v>
      </c>
      <c r="O136" s="63">
        <f t="shared" ca="1" si="16"/>
        <v>0</v>
      </c>
      <c r="P136" s="65">
        <f ca="1">AVERAGE(E136:OFFSET(E136,-(Q$5-1),0))</f>
        <v>4380.25</v>
      </c>
      <c r="Q136" s="41">
        <f ca="1">AVERAGE(E136:OFFSET(E136,-(Q$6-1),0))</f>
        <v>4500.45</v>
      </c>
      <c r="R136" s="63">
        <f t="shared" ca="1" si="17"/>
        <v>0</v>
      </c>
    </row>
    <row r="137" spans="1:18">
      <c r="A137" s="46">
        <v>20081120</v>
      </c>
      <c r="B137" s="47">
        <v>3953</v>
      </c>
      <c r="C137" s="47">
        <v>4027</v>
      </c>
      <c r="D137" s="47">
        <v>3866</v>
      </c>
      <c r="E137" s="47">
        <v>3903</v>
      </c>
      <c r="F137" s="48">
        <v>90469</v>
      </c>
      <c r="G137" s="57">
        <f t="shared" si="19"/>
        <v>-196</v>
      </c>
      <c r="H137" s="57">
        <f t="shared" si="18"/>
        <v>-50</v>
      </c>
      <c r="I137" s="67">
        <f t="shared" ca="1" si="12"/>
        <v>0</v>
      </c>
      <c r="J137" s="68">
        <f t="shared" ca="1" si="13"/>
        <v>0</v>
      </c>
      <c r="K137" s="69">
        <f t="shared" ca="1" si="14"/>
        <v>0</v>
      </c>
      <c r="L137" s="42">
        <f t="shared" ca="1" si="15"/>
        <v>1828</v>
      </c>
      <c r="M137" s="62">
        <f t="shared" si="20"/>
        <v>0</v>
      </c>
      <c r="N137" s="40">
        <f ca="1">AVERAGE(M137:OFFSET(M137,-(O$5-1),0))</f>
        <v>0.3</v>
      </c>
      <c r="O137" s="63">
        <f t="shared" ca="1" si="16"/>
        <v>0</v>
      </c>
      <c r="P137" s="65">
        <f ca="1">AVERAGE(E137:OFFSET(E137,-(Q$5-1),0))</f>
        <v>4289.125</v>
      </c>
      <c r="Q137" s="41">
        <f ca="1">AVERAGE(E137:OFFSET(E137,-(Q$6-1),0))</f>
        <v>4470.8999999999996</v>
      </c>
      <c r="R137" s="63">
        <f t="shared" ca="1" si="17"/>
        <v>0</v>
      </c>
    </row>
    <row r="138" spans="1:18">
      <c r="A138" s="46">
        <v>20081121</v>
      </c>
      <c r="B138" s="47">
        <v>3880</v>
      </c>
      <c r="C138" s="47">
        <v>4129</v>
      </c>
      <c r="D138" s="47">
        <v>3815</v>
      </c>
      <c r="E138" s="47">
        <v>4121</v>
      </c>
      <c r="F138" s="48">
        <v>125163</v>
      </c>
      <c r="G138" s="57">
        <f t="shared" si="19"/>
        <v>-23</v>
      </c>
      <c r="H138" s="57">
        <f t="shared" si="18"/>
        <v>241</v>
      </c>
      <c r="I138" s="67">
        <f t="shared" ca="1" si="12"/>
        <v>0</v>
      </c>
      <c r="J138" s="68">
        <f t="shared" ca="1" si="13"/>
        <v>0</v>
      </c>
      <c r="K138" s="69">
        <f t="shared" ca="1" si="14"/>
        <v>0</v>
      </c>
      <c r="L138" s="42">
        <f t="shared" ca="1" si="15"/>
        <v>1828</v>
      </c>
      <c r="M138" s="62">
        <f t="shared" si="20"/>
        <v>1</v>
      </c>
      <c r="N138" s="40">
        <f ca="1">AVERAGE(M138:OFFSET(M138,-(O$5-1),0))</f>
        <v>0.3</v>
      </c>
      <c r="O138" s="63">
        <f t="shared" ca="1" si="16"/>
        <v>0</v>
      </c>
      <c r="P138" s="65">
        <f ca="1">AVERAGE(E138:OFFSET(E138,-(Q$5-1),0))</f>
        <v>4245</v>
      </c>
      <c r="Q138" s="41">
        <f ca="1">AVERAGE(E138:OFFSET(E138,-(Q$6-1),0))</f>
        <v>4460.1000000000004</v>
      </c>
      <c r="R138" s="63">
        <f t="shared" ca="1" si="17"/>
        <v>0</v>
      </c>
    </row>
    <row r="139" spans="1:18">
      <c r="A139" s="46">
        <v>20081124</v>
      </c>
      <c r="B139" s="47">
        <v>4081</v>
      </c>
      <c r="C139" s="47">
        <v>4108</v>
      </c>
      <c r="D139" s="47">
        <v>3972</v>
      </c>
      <c r="E139" s="47">
        <v>4045</v>
      </c>
      <c r="F139" s="48">
        <v>100402</v>
      </c>
      <c r="G139" s="57">
        <f t="shared" si="19"/>
        <v>-40</v>
      </c>
      <c r="H139" s="57">
        <f t="shared" si="18"/>
        <v>-36</v>
      </c>
      <c r="I139" s="67">
        <f t="shared" ca="1" si="12"/>
        <v>0</v>
      </c>
      <c r="J139" s="68">
        <f t="shared" ca="1" si="13"/>
        <v>0</v>
      </c>
      <c r="K139" s="69">
        <f t="shared" ca="1" si="14"/>
        <v>0</v>
      </c>
      <c r="L139" s="42">
        <f t="shared" ca="1" si="15"/>
        <v>1828</v>
      </c>
      <c r="M139" s="62">
        <f t="shared" si="20"/>
        <v>0</v>
      </c>
      <c r="N139" s="40">
        <f ca="1">AVERAGE(M139:OFFSET(M139,-(O$5-1),0))</f>
        <v>0.3</v>
      </c>
      <c r="O139" s="63">
        <f t="shared" ca="1" si="16"/>
        <v>0</v>
      </c>
      <c r="P139" s="65">
        <f ca="1">AVERAGE(E139:OFFSET(E139,-(Q$5-1),0))</f>
        <v>4185.5</v>
      </c>
      <c r="Q139" s="41">
        <f ca="1">AVERAGE(E139:OFFSET(E139,-(Q$6-1),0))</f>
        <v>4460.6499999999996</v>
      </c>
      <c r="R139" s="63">
        <f t="shared" ca="1" si="17"/>
        <v>0</v>
      </c>
    </row>
    <row r="140" spans="1:18">
      <c r="A140" s="46">
        <v>20081125</v>
      </c>
      <c r="B140" s="47">
        <v>4222</v>
      </c>
      <c r="C140" s="47">
        <v>4285</v>
      </c>
      <c r="D140" s="47">
        <v>4112</v>
      </c>
      <c r="E140" s="47">
        <v>4199</v>
      </c>
      <c r="F140" s="48">
        <v>123507</v>
      </c>
      <c r="G140" s="57">
        <f t="shared" si="19"/>
        <v>177</v>
      </c>
      <c r="H140" s="57">
        <f t="shared" si="18"/>
        <v>-23</v>
      </c>
      <c r="I140" s="67">
        <f t="shared" ca="1" si="12"/>
        <v>0</v>
      </c>
      <c r="J140" s="68">
        <f t="shared" ca="1" si="13"/>
        <v>0</v>
      </c>
      <c r="K140" s="69">
        <f t="shared" ca="1" si="14"/>
        <v>0</v>
      </c>
      <c r="L140" s="42">
        <f t="shared" ca="1" si="15"/>
        <v>1828</v>
      </c>
      <c r="M140" s="62">
        <f t="shared" si="20"/>
        <v>1</v>
      </c>
      <c r="N140" s="40">
        <f ca="1">AVERAGE(M140:OFFSET(M140,-(O$5-1),0))</f>
        <v>0.4</v>
      </c>
      <c r="O140" s="63">
        <f t="shared" ca="1" si="16"/>
        <v>0</v>
      </c>
      <c r="P140" s="65">
        <f ca="1">AVERAGE(E140:OFFSET(E140,-(Q$5-1),0))</f>
        <v>4174.75</v>
      </c>
      <c r="Q140" s="41">
        <f ca="1">AVERAGE(E140:OFFSET(E140,-(Q$6-1),0))</f>
        <v>4454.8</v>
      </c>
      <c r="R140" s="63">
        <f t="shared" ca="1" si="17"/>
        <v>0</v>
      </c>
    </row>
    <row r="141" spans="1:18">
      <c r="A141" s="46">
        <v>20081126</v>
      </c>
      <c r="B141" s="47">
        <v>4237</v>
      </c>
      <c r="C141" s="47">
        <v>4268</v>
      </c>
      <c r="D141" s="47">
        <v>4176</v>
      </c>
      <c r="E141" s="47">
        <v>4209</v>
      </c>
      <c r="F141" s="48">
        <v>107756</v>
      </c>
      <c r="G141" s="57">
        <f t="shared" si="19"/>
        <v>38</v>
      </c>
      <c r="H141" s="57">
        <f t="shared" si="18"/>
        <v>-28</v>
      </c>
      <c r="I141" s="67">
        <f t="shared" ca="1" si="12"/>
        <v>0</v>
      </c>
      <c r="J141" s="68">
        <f t="shared" ca="1" si="13"/>
        <v>0</v>
      </c>
      <c r="K141" s="69">
        <f t="shared" ca="1" si="14"/>
        <v>0</v>
      </c>
      <c r="L141" s="42">
        <f t="shared" ca="1" si="15"/>
        <v>1828</v>
      </c>
      <c r="M141" s="62">
        <f t="shared" si="20"/>
        <v>1</v>
      </c>
      <c r="N141" s="40">
        <f ca="1">AVERAGE(M141:OFFSET(M141,-(O$5-1),0))</f>
        <v>0.4</v>
      </c>
      <c r="O141" s="63">
        <f t="shared" ca="1" si="16"/>
        <v>0</v>
      </c>
      <c r="P141" s="65">
        <f ca="1">AVERAGE(E141:OFFSET(E141,-(Q$5-1),0))</f>
        <v>4153.375</v>
      </c>
      <c r="Q141" s="41">
        <f ca="1">AVERAGE(E141:OFFSET(E141,-(Q$6-1),0))</f>
        <v>4450.8500000000004</v>
      </c>
      <c r="R141" s="63">
        <f t="shared" ca="1" si="17"/>
        <v>0</v>
      </c>
    </row>
    <row r="142" spans="1:18">
      <c r="A142" s="46">
        <v>20081127</v>
      </c>
      <c r="B142" s="47">
        <v>4330</v>
      </c>
      <c r="C142" s="47">
        <v>4488</v>
      </c>
      <c r="D142" s="47">
        <v>4292</v>
      </c>
      <c r="E142" s="47">
        <v>4430</v>
      </c>
      <c r="F142" s="48">
        <v>105391</v>
      </c>
      <c r="G142" s="57">
        <f t="shared" si="19"/>
        <v>121</v>
      </c>
      <c r="H142" s="57">
        <f t="shared" si="18"/>
        <v>100</v>
      </c>
      <c r="I142" s="67">
        <f t="shared" ca="1" si="12"/>
        <v>0</v>
      </c>
      <c r="J142" s="68">
        <f t="shared" ca="1" si="13"/>
        <v>0</v>
      </c>
      <c r="K142" s="69">
        <f t="shared" ca="1" si="14"/>
        <v>0</v>
      </c>
      <c r="L142" s="42">
        <f t="shared" ca="1" si="15"/>
        <v>1828</v>
      </c>
      <c r="M142" s="62">
        <f t="shared" si="20"/>
        <v>1</v>
      </c>
      <c r="N142" s="40">
        <f ca="1">AVERAGE(M142:OFFSET(M142,-(O$5-1),0))</f>
        <v>0.5</v>
      </c>
      <c r="O142" s="63">
        <f t="shared" ca="1" si="16"/>
        <v>0</v>
      </c>
      <c r="P142" s="65">
        <f ca="1">AVERAGE(E142:OFFSET(E142,-(Q$5-1),0))</f>
        <v>4162.5</v>
      </c>
      <c r="Q142" s="41">
        <f ca="1">AVERAGE(E142:OFFSET(E142,-(Q$6-1),0))</f>
        <v>4442.6499999999996</v>
      </c>
      <c r="R142" s="63">
        <f t="shared" ca="1" si="17"/>
        <v>0</v>
      </c>
    </row>
    <row r="143" spans="1:18">
      <c r="A143" s="46">
        <v>20081128</v>
      </c>
      <c r="B143" s="47">
        <v>4435</v>
      </c>
      <c r="C143" s="47">
        <v>4465</v>
      </c>
      <c r="D143" s="47">
        <v>4388</v>
      </c>
      <c r="E143" s="47">
        <v>4460</v>
      </c>
      <c r="F143" s="48">
        <v>84211</v>
      </c>
      <c r="G143" s="57">
        <f t="shared" si="19"/>
        <v>5</v>
      </c>
      <c r="H143" s="57">
        <f t="shared" si="18"/>
        <v>25</v>
      </c>
      <c r="I143" s="67">
        <f t="shared" ca="1" si="12"/>
        <v>0</v>
      </c>
      <c r="J143" s="68">
        <f t="shared" ca="1" si="13"/>
        <v>0</v>
      </c>
      <c r="K143" s="69">
        <f t="shared" ca="1" si="14"/>
        <v>0</v>
      </c>
      <c r="L143" s="42">
        <f t="shared" ca="1" si="15"/>
        <v>1828</v>
      </c>
      <c r="M143" s="62">
        <f t="shared" si="20"/>
        <v>1</v>
      </c>
      <c r="N143" s="40">
        <f ca="1">AVERAGE(M143:OFFSET(M143,-(O$5-1),0))</f>
        <v>0.5</v>
      </c>
      <c r="O143" s="63">
        <f t="shared" ca="1" si="16"/>
        <v>0</v>
      </c>
      <c r="P143" s="65">
        <f ca="1">AVERAGE(E143:OFFSET(E143,-(Q$5-1),0))</f>
        <v>4189.5</v>
      </c>
      <c r="Q143" s="41">
        <f ca="1">AVERAGE(E143:OFFSET(E143,-(Q$6-1),0))</f>
        <v>4423.45</v>
      </c>
      <c r="R143" s="63">
        <f t="shared" ca="1" si="17"/>
        <v>0</v>
      </c>
    </row>
    <row r="144" spans="1:18">
      <c r="A144" s="46">
        <v>20081201</v>
      </c>
      <c r="B144" s="47">
        <v>4420</v>
      </c>
      <c r="C144" s="47">
        <v>4580</v>
      </c>
      <c r="D144" s="47">
        <v>4389</v>
      </c>
      <c r="E144" s="47">
        <v>4501</v>
      </c>
      <c r="F144" s="48">
        <v>106517</v>
      </c>
      <c r="G144" s="57">
        <f t="shared" si="19"/>
        <v>-40</v>
      </c>
      <c r="H144" s="57">
        <f t="shared" si="18"/>
        <v>81</v>
      </c>
      <c r="I144" s="67">
        <f t="shared" ca="1" si="12"/>
        <v>-1</v>
      </c>
      <c r="J144" s="68">
        <f t="shared" ca="1" si="13"/>
        <v>0</v>
      </c>
      <c r="K144" s="69">
        <f t="shared" ca="1" si="14"/>
        <v>0</v>
      </c>
      <c r="L144" s="42">
        <f t="shared" ca="1" si="15"/>
        <v>1828</v>
      </c>
      <c r="M144" s="62">
        <f t="shared" si="20"/>
        <v>1</v>
      </c>
      <c r="N144" s="40">
        <f ca="1">AVERAGE(M144:OFFSET(M144,-(O$5-1),0))</f>
        <v>0.6</v>
      </c>
      <c r="O144" s="63">
        <f t="shared" ca="1" si="16"/>
        <v>-1</v>
      </c>
      <c r="P144" s="65">
        <f ca="1">AVERAGE(E144:OFFSET(E144,-(Q$5-1),0))</f>
        <v>4233.5</v>
      </c>
      <c r="Q144" s="41">
        <f ca="1">AVERAGE(E144:OFFSET(E144,-(Q$6-1),0))</f>
        <v>4398.8999999999996</v>
      </c>
      <c r="R144" s="63">
        <f t="shared" ca="1" si="17"/>
        <v>0</v>
      </c>
    </row>
    <row r="145" spans="1:18">
      <c r="A145" s="46">
        <v>20081202</v>
      </c>
      <c r="B145" s="47">
        <v>4299</v>
      </c>
      <c r="C145" s="47">
        <v>4324</v>
      </c>
      <c r="D145" s="47">
        <v>4206</v>
      </c>
      <c r="E145" s="47">
        <v>4240</v>
      </c>
      <c r="F145" s="48">
        <v>89984</v>
      </c>
      <c r="G145" s="57">
        <f t="shared" si="19"/>
        <v>-202</v>
      </c>
      <c r="H145" s="57">
        <f t="shared" si="18"/>
        <v>-59</v>
      </c>
      <c r="I145" s="67">
        <f t="shared" ca="1" si="12"/>
        <v>-1</v>
      </c>
      <c r="J145" s="68">
        <f t="shared" ca="1" si="13"/>
        <v>-1</v>
      </c>
      <c r="K145" s="69">
        <f t="shared" ca="1" si="14"/>
        <v>59</v>
      </c>
      <c r="L145" s="42">
        <f t="shared" ca="1" si="15"/>
        <v>1887</v>
      </c>
      <c r="M145" s="62">
        <f t="shared" si="20"/>
        <v>0</v>
      </c>
      <c r="N145" s="40">
        <f ca="1">AVERAGE(M145:OFFSET(M145,-(O$5-1),0))</f>
        <v>0.6</v>
      </c>
      <c r="O145" s="63">
        <f t="shared" ca="1" si="16"/>
        <v>-1</v>
      </c>
      <c r="P145" s="65">
        <f ca="1">AVERAGE(E145:OFFSET(E145,-(Q$5-1),0))</f>
        <v>4275.625</v>
      </c>
      <c r="Q145" s="41">
        <f ca="1">AVERAGE(E145:OFFSET(E145,-(Q$6-1),0))</f>
        <v>4362</v>
      </c>
      <c r="R145" s="63">
        <f t="shared" ca="1" si="17"/>
        <v>0</v>
      </c>
    </row>
    <row r="146" spans="1:18">
      <c r="A146" s="46">
        <v>20081203</v>
      </c>
      <c r="B146" s="47">
        <v>4268</v>
      </c>
      <c r="C146" s="47">
        <v>4306</v>
      </c>
      <c r="D146" s="47">
        <v>4186</v>
      </c>
      <c r="E146" s="47">
        <v>4188</v>
      </c>
      <c r="F146" s="48">
        <v>94456</v>
      </c>
      <c r="G146" s="57">
        <f t="shared" si="19"/>
        <v>28</v>
      </c>
      <c r="H146" s="57">
        <f t="shared" si="18"/>
        <v>-80</v>
      </c>
      <c r="I146" s="67">
        <f t="shared" ca="1" si="12"/>
        <v>-1</v>
      </c>
      <c r="J146" s="68">
        <f t="shared" ca="1" si="13"/>
        <v>-1</v>
      </c>
      <c r="K146" s="69">
        <f t="shared" ca="1" si="14"/>
        <v>52</v>
      </c>
      <c r="L146" s="42">
        <f t="shared" ca="1" si="15"/>
        <v>1939</v>
      </c>
      <c r="M146" s="62">
        <f t="shared" si="20"/>
        <v>0</v>
      </c>
      <c r="N146" s="40">
        <f ca="1">AVERAGE(M146:OFFSET(M146,-(O$5-1),0))</f>
        <v>0.6</v>
      </c>
      <c r="O146" s="63">
        <f t="shared" ca="1" si="16"/>
        <v>-1</v>
      </c>
      <c r="P146" s="65">
        <f ca="1">AVERAGE(E146:OFFSET(E146,-(Q$5-1),0))</f>
        <v>4284</v>
      </c>
      <c r="Q146" s="41">
        <f ca="1">AVERAGE(E146:OFFSET(E146,-(Q$6-1),0))</f>
        <v>4326.3999999999996</v>
      </c>
      <c r="R146" s="63">
        <f t="shared" ca="1" si="17"/>
        <v>0</v>
      </c>
    </row>
    <row r="147" spans="1:18">
      <c r="A147" s="46">
        <v>20081204</v>
      </c>
      <c r="B147" s="47">
        <v>4246</v>
      </c>
      <c r="C147" s="47">
        <v>4284</v>
      </c>
      <c r="D147" s="47">
        <v>4100</v>
      </c>
      <c r="E147" s="47">
        <v>4139</v>
      </c>
      <c r="F147" s="48">
        <v>101059</v>
      </c>
      <c r="G147" s="57">
        <f t="shared" si="19"/>
        <v>58</v>
      </c>
      <c r="H147" s="57">
        <f t="shared" si="18"/>
        <v>-107</v>
      </c>
      <c r="I147" s="67">
        <f t="shared" ca="1" si="12"/>
        <v>-1</v>
      </c>
      <c r="J147" s="68">
        <f t="shared" ca="1" si="13"/>
        <v>-1</v>
      </c>
      <c r="K147" s="69">
        <f t="shared" ca="1" si="14"/>
        <v>49</v>
      </c>
      <c r="L147" s="42">
        <f t="shared" ca="1" si="15"/>
        <v>1988</v>
      </c>
      <c r="M147" s="62">
        <f t="shared" si="20"/>
        <v>0</v>
      </c>
      <c r="N147" s="40">
        <f ca="1">AVERAGE(M147:OFFSET(M147,-(O$5-1),0))</f>
        <v>0.6</v>
      </c>
      <c r="O147" s="63">
        <f t="shared" ca="1" si="16"/>
        <v>-1</v>
      </c>
      <c r="P147" s="65">
        <f ca="1">AVERAGE(E147:OFFSET(E147,-(Q$5-1),0))</f>
        <v>4295.75</v>
      </c>
      <c r="Q147" s="41">
        <f ca="1">AVERAGE(E147:OFFSET(E147,-(Q$6-1),0))</f>
        <v>4305.5</v>
      </c>
      <c r="R147" s="63">
        <f t="shared" ca="1" si="17"/>
        <v>0</v>
      </c>
    </row>
    <row r="148" spans="1:18">
      <c r="A148" s="46">
        <v>20081205</v>
      </c>
      <c r="B148" s="47">
        <v>4170</v>
      </c>
      <c r="C148" s="47">
        <v>4202</v>
      </c>
      <c r="D148" s="47">
        <v>4103</v>
      </c>
      <c r="E148" s="47">
        <v>4179</v>
      </c>
      <c r="F148" s="48">
        <v>91680</v>
      </c>
      <c r="G148" s="57">
        <f t="shared" si="19"/>
        <v>31</v>
      </c>
      <c r="H148" s="57">
        <f t="shared" si="18"/>
        <v>9</v>
      </c>
      <c r="I148" s="67">
        <f t="shared" ca="1" si="12"/>
        <v>1</v>
      </c>
      <c r="J148" s="68">
        <f t="shared" ca="1" si="13"/>
        <v>-1</v>
      </c>
      <c r="K148" s="69">
        <f t="shared" ca="1" si="14"/>
        <v>-40</v>
      </c>
      <c r="L148" s="42">
        <f t="shared" ca="1" si="15"/>
        <v>1948</v>
      </c>
      <c r="M148" s="62">
        <f t="shared" si="20"/>
        <v>1</v>
      </c>
      <c r="N148" s="40">
        <f ca="1">AVERAGE(M148:OFFSET(M148,-(O$5-1),0))</f>
        <v>0.6</v>
      </c>
      <c r="O148" s="63">
        <f t="shared" ca="1" si="16"/>
        <v>-1</v>
      </c>
      <c r="P148" s="65">
        <f ca="1">AVERAGE(E148:OFFSET(E148,-(Q$5-1),0))</f>
        <v>4293.25</v>
      </c>
      <c r="Q148" s="41">
        <f ca="1">AVERAGE(E148:OFFSET(E148,-(Q$6-1),0))</f>
        <v>4282.8</v>
      </c>
      <c r="R148" s="63">
        <f t="shared" ca="1" si="17"/>
        <v>1</v>
      </c>
    </row>
    <row r="149" spans="1:18">
      <c r="A149" s="46">
        <v>20081208</v>
      </c>
      <c r="B149" s="47">
        <v>4245</v>
      </c>
      <c r="C149" s="47">
        <v>4471</v>
      </c>
      <c r="D149" s="47">
        <v>4231</v>
      </c>
      <c r="E149" s="47">
        <v>4471</v>
      </c>
      <c r="F149" s="48">
        <v>92030</v>
      </c>
      <c r="G149" s="57">
        <f t="shared" si="19"/>
        <v>66</v>
      </c>
      <c r="H149" s="57">
        <f t="shared" si="18"/>
        <v>226</v>
      </c>
      <c r="I149" s="67">
        <f t="shared" ca="1" si="12"/>
        <v>-1</v>
      </c>
      <c r="J149" s="68">
        <f t="shared" ca="1" si="13"/>
        <v>0</v>
      </c>
      <c r="K149" s="69">
        <f t="shared" ca="1" si="14"/>
        <v>-66</v>
      </c>
      <c r="L149" s="42">
        <f t="shared" ca="1" si="15"/>
        <v>1882</v>
      </c>
      <c r="M149" s="62">
        <f t="shared" si="20"/>
        <v>1</v>
      </c>
      <c r="N149" s="40">
        <f ca="1">AVERAGE(M149:OFFSET(M149,-(O$5-1),0))</f>
        <v>0.7</v>
      </c>
      <c r="O149" s="63">
        <f t="shared" ca="1" si="16"/>
        <v>-1</v>
      </c>
      <c r="P149" s="65">
        <f ca="1">AVERAGE(E149:OFFSET(E149,-(Q$5-1),0))</f>
        <v>4326</v>
      </c>
      <c r="Q149" s="41">
        <f ca="1">AVERAGE(E149:OFFSET(E149,-(Q$6-1),0))</f>
        <v>4274.75</v>
      </c>
      <c r="R149" s="63">
        <f t="shared" ca="1" si="17"/>
        <v>0</v>
      </c>
    </row>
    <row r="150" spans="1:18">
      <c r="A150" s="46">
        <v>20081209</v>
      </c>
      <c r="B150" s="47">
        <v>4495</v>
      </c>
      <c r="C150" s="47">
        <v>4546</v>
      </c>
      <c r="D150" s="47">
        <v>4432</v>
      </c>
      <c r="E150" s="47">
        <v>4460</v>
      </c>
      <c r="F150" s="48">
        <v>107827</v>
      </c>
      <c r="G150" s="57">
        <f t="shared" si="19"/>
        <v>24</v>
      </c>
      <c r="H150" s="57">
        <f t="shared" si="18"/>
        <v>-35</v>
      </c>
      <c r="I150" s="67">
        <f t="shared" ca="1" si="12"/>
        <v>-1</v>
      </c>
      <c r="J150" s="68">
        <f t="shared" ca="1" si="13"/>
        <v>-1</v>
      </c>
      <c r="K150" s="69">
        <f t="shared" ca="1" si="14"/>
        <v>35</v>
      </c>
      <c r="L150" s="42">
        <f t="shared" ca="1" si="15"/>
        <v>1917</v>
      </c>
      <c r="M150" s="62">
        <f t="shared" si="20"/>
        <v>0</v>
      </c>
      <c r="N150" s="40">
        <f ca="1">AVERAGE(M150:OFFSET(M150,-(O$5-1),0))</f>
        <v>0.6</v>
      </c>
      <c r="O150" s="63">
        <f t="shared" ca="1" si="16"/>
        <v>-1</v>
      </c>
      <c r="P150" s="65">
        <f ca="1">AVERAGE(E150:OFFSET(E150,-(Q$5-1),0))</f>
        <v>4329.75</v>
      </c>
      <c r="Q150" s="41">
        <f ca="1">AVERAGE(E150:OFFSET(E150,-(Q$6-1),0))</f>
        <v>4274.05</v>
      </c>
      <c r="R150" s="63">
        <f t="shared" ca="1" si="17"/>
        <v>0</v>
      </c>
    </row>
    <row r="151" spans="1:18">
      <c r="A151" s="46">
        <v>20081210</v>
      </c>
      <c r="B151" s="47">
        <v>4486</v>
      </c>
      <c r="C151" s="47">
        <v>4724</v>
      </c>
      <c r="D151" s="47">
        <v>4471</v>
      </c>
      <c r="E151" s="47">
        <v>4691</v>
      </c>
      <c r="F151" s="48">
        <v>113641</v>
      </c>
      <c r="G151" s="57">
        <f t="shared" si="19"/>
        <v>26</v>
      </c>
      <c r="H151" s="57">
        <f t="shared" si="18"/>
        <v>205</v>
      </c>
      <c r="I151" s="67">
        <f t="shared" ca="1" si="12"/>
        <v>-1</v>
      </c>
      <c r="J151" s="68">
        <f t="shared" ca="1" si="13"/>
        <v>-1</v>
      </c>
      <c r="K151" s="69">
        <f t="shared" ca="1" si="14"/>
        <v>-231</v>
      </c>
      <c r="L151" s="42">
        <f t="shared" ca="1" si="15"/>
        <v>1686</v>
      </c>
      <c r="M151" s="62">
        <f t="shared" si="20"/>
        <v>1</v>
      </c>
      <c r="N151" s="40">
        <f ca="1">AVERAGE(M151:OFFSET(M151,-(O$5-1),0))</f>
        <v>0.6</v>
      </c>
      <c r="O151" s="63">
        <f t="shared" ca="1" si="16"/>
        <v>-1</v>
      </c>
      <c r="P151" s="65">
        <f ca="1">AVERAGE(E151:OFFSET(E151,-(Q$5-1),0))</f>
        <v>4358.625</v>
      </c>
      <c r="Q151" s="41">
        <f ca="1">AVERAGE(E151:OFFSET(E151,-(Q$6-1),0))</f>
        <v>4282.55</v>
      </c>
      <c r="R151" s="63">
        <f t="shared" ca="1" si="17"/>
        <v>0</v>
      </c>
    </row>
    <row r="152" spans="1:18">
      <c r="A152" s="46">
        <v>20081211</v>
      </c>
      <c r="B152" s="47">
        <v>4651</v>
      </c>
      <c r="C152" s="47">
        <v>4704</v>
      </c>
      <c r="D152" s="47">
        <v>4625</v>
      </c>
      <c r="E152" s="47">
        <v>4666</v>
      </c>
      <c r="F152" s="48">
        <v>95881</v>
      </c>
      <c r="G152" s="57">
        <f t="shared" si="19"/>
        <v>-40</v>
      </c>
      <c r="H152" s="57">
        <f t="shared" si="18"/>
        <v>15</v>
      </c>
      <c r="I152" s="67">
        <f t="shared" ca="1" si="12"/>
        <v>0</v>
      </c>
      <c r="J152" s="68">
        <f t="shared" ca="1" si="13"/>
        <v>-1</v>
      </c>
      <c r="K152" s="69">
        <f t="shared" ca="1" si="14"/>
        <v>25</v>
      </c>
      <c r="L152" s="42">
        <f t="shared" ca="1" si="15"/>
        <v>1711</v>
      </c>
      <c r="M152" s="62">
        <f t="shared" si="20"/>
        <v>0</v>
      </c>
      <c r="N152" s="40">
        <f ca="1">AVERAGE(M152:OFFSET(M152,-(O$5-1),0))</f>
        <v>0.5</v>
      </c>
      <c r="O152" s="63">
        <f t="shared" ca="1" si="16"/>
        <v>0</v>
      </c>
      <c r="P152" s="65">
        <f ca="1">AVERAGE(E152:OFFSET(E152,-(Q$5-1),0))</f>
        <v>4379.25</v>
      </c>
      <c r="Q152" s="41">
        <f ca="1">AVERAGE(E152:OFFSET(E152,-(Q$6-1),0))</f>
        <v>4301.6000000000004</v>
      </c>
      <c r="R152" s="63">
        <f t="shared" ca="1" si="17"/>
        <v>0</v>
      </c>
    </row>
    <row r="153" spans="1:18">
      <c r="A153" s="46">
        <v>20081212</v>
      </c>
      <c r="B153" s="47">
        <v>4570</v>
      </c>
      <c r="C153" s="47">
        <v>4643</v>
      </c>
      <c r="D153" s="47">
        <v>4343</v>
      </c>
      <c r="E153" s="47">
        <v>4425</v>
      </c>
      <c r="F153" s="48">
        <v>119805</v>
      </c>
      <c r="G153" s="57">
        <f t="shared" ref="G153:G216" si="21">B153-E152</f>
        <v>-96</v>
      </c>
      <c r="H153" s="57">
        <f t="shared" ref="H153:H216" si="22">E153-B153</f>
        <v>-145</v>
      </c>
      <c r="I153" s="67">
        <f t="shared" ref="I153:I216" ca="1" si="23">IF(OR(O153=1,R153=1),1,IF(OR(O153=-1,R153=-1),-1,0))</f>
        <v>0</v>
      </c>
      <c r="J153" s="68">
        <f t="shared" ref="J153:J216" ca="1" si="24">IF((J152+I152)&gt;=J$5, J$5, IF((J152+I152)&lt;=J$7, J$7, J152+I152))</f>
        <v>-1</v>
      </c>
      <c r="K153" s="69">
        <f t="shared" ref="K153:K216" ca="1" si="25">J152*(G153+H153)+(J153-J152)*H153</f>
        <v>241</v>
      </c>
      <c r="L153" s="42">
        <f t="shared" ref="L153:L216" ca="1" si="26">L152+K153</f>
        <v>1952</v>
      </c>
      <c r="M153" s="62">
        <f t="shared" ref="M153:M216" si="27">IF(E153&gt;E152,1,0)</f>
        <v>0</v>
      </c>
      <c r="N153" s="40">
        <f ca="1">AVERAGE(M153:OFFSET(M153,-(O$5-1),0))</f>
        <v>0.4</v>
      </c>
      <c r="O153" s="63">
        <f t="shared" ref="O153:O216" ca="1" si="28">IF(N153&lt;=O$6, 1, IF(N153&gt;=O$7,-1, 0))</f>
        <v>0</v>
      </c>
      <c r="P153" s="65">
        <f ca="1">AVERAGE(E153:OFFSET(E153,-(Q$5-1),0))</f>
        <v>4402.375</v>
      </c>
      <c r="Q153" s="41">
        <f ca="1">AVERAGE(E153:OFFSET(E153,-(Q$6-1),0))</f>
        <v>4303.8500000000004</v>
      </c>
      <c r="R153" s="63">
        <f t="shared" ref="R153:R216" ca="1" si="29">IF(AND(P152&lt;=Q152,P153&gt;Q153),1,IF(AND(P152&gt;=Q152,P153&lt;Q153),-1,0))</f>
        <v>0</v>
      </c>
    </row>
    <row r="154" spans="1:18">
      <c r="A154" s="46">
        <v>20081215</v>
      </c>
      <c r="B154" s="47">
        <v>4615</v>
      </c>
      <c r="C154" s="47">
        <v>4718</v>
      </c>
      <c r="D154" s="47">
        <v>4553</v>
      </c>
      <c r="E154" s="47">
        <v>4610</v>
      </c>
      <c r="F154" s="48">
        <v>107596</v>
      </c>
      <c r="G154" s="57">
        <f t="shared" si="21"/>
        <v>190</v>
      </c>
      <c r="H154" s="57">
        <f t="shared" si="22"/>
        <v>-5</v>
      </c>
      <c r="I154" s="67">
        <f t="shared" ca="1" si="23"/>
        <v>0</v>
      </c>
      <c r="J154" s="68">
        <f t="shared" ca="1" si="24"/>
        <v>-1</v>
      </c>
      <c r="K154" s="69">
        <f t="shared" ca="1" si="25"/>
        <v>-185</v>
      </c>
      <c r="L154" s="42">
        <f t="shared" ca="1" si="26"/>
        <v>1767</v>
      </c>
      <c r="M154" s="62">
        <f t="shared" si="27"/>
        <v>1</v>
      </c>
      <c r="N154" s="40">
        <f ca="1">AVERAGE(M154:OFFSET(M154,-(O$5-1),0))</f>
        <v>0.4</v>
      </c>
      <c r="O154" s="63">
        <f t="shared" ca="1" si="28"/>
        <v>0</v>
      </c>
      <c r="P154" s="65">
        <f ca="1">AVERAGE(E154:OFFSET(E154,-(Q$5-1),0))</f>
        <v>4455.125</v>
      </c>
      <c r="Q154" s="41">
        <f ca="1">AVERAGE(E154:OFFSET(E154,-(Q$6-1),0))</f>
        <v>4316.5</v>
      </c>
      <c r="R154" s="63">
        <f t="shared" ca="1" si="29"/>
        <v>0</v>
      </c>
    </row>
    <row r="155" spans="1:18">
      <c r="A155" s="46">
        <v>20081216</v>
      </c>
      <c r="B155" s="47">
        <v>4549</v>
      </c>
      <c r="C155" s="47">
        <v>4614</v>
      </c>
      <c r="D155" s="47">
        <v>4521</v>
      </c>
      <c r="E155" s="47">
        <v>4585</v>
      </c>
      <c r="F155" s="48">
        <v>78144</v>
      </c>
      <c r="G155" s="57">
        <f t="shared" si="21"/>
        <v>-61</v>
      </c>
      <c r="H155" s="57">
        <f t="shared" si="22"/>
        <v>36</v>
      </c>
      <c r="I155" s="67">
        <f t="shared" ca="1" si="23"/>
        <v>0</v>
      </c>
      <c r="J155" s="68">
        <f t="shared" ca="1" si="24"/>
        <v>-1</v>
      </c>
      <c r="K155" s="69">
        <f t="shared" ca="1" si="25"/>
        <v>25</v>
      </c>
      <c r="L155" s="42">
        <f t="shared" ca="1" si="26"/>
        <v>1792</v>
      </c>
      <c r="M155" s="62">
        <f t="shared" si="27"/>
        <v>0</v>
      </c>
      <c r="N155" s="40">
        <f ca="1">AVERAGE(M155:OFFSET(M155,-(O$5-1),0))</f>
        <v>0.4</v>
      </c>
      <c r="O155" s="63">
        <f t="shared" ca="1" si="28"/>
        <v>0</v>
      </c>
      <c r="P155" s="65">
        <f ca="1">AVERAGE(E155:OFFSET(E155,-(Q$5-1),0))</f>
        <v>4510.875</v>
      </c>
      <c r="Q155" s="41">
        <f ca="1">AVERAGE(E155:OFFSET(E155,-(Q$6-1),0))</f>
        <v>4333.55</v>
      </c>
      <c r="R155" s="63">
        <f t="shared" ca="1" si="29"/>
        <v>0</v>
      </c>
    </row>
    <row r="156" spans="1:18">
      <c r="A156" s="46">
        <v>20081217</v>
      </c>
      <c r="B156" s="47">
        <v>4671</v>
      </c>
      <c r="C156" s="47">
        <v>4720</v>
      </c>
      <c r="D156" s="47">
        <v>4585</v>
      </c>
      <c r="E156" s="47">
        <v>4623</v>
      </c>
      <c r="F156" s="48">
        <v>60082</v>
      </c>
      <c r="G156" s="57">
        <f t="shared" si="21"/>
        <v>86</v>
      </c>
      <c r="H156" s="57">
        <f t="shared" si="22"/>
        <v>-48</v>
      </c>
      <c r="I156" s="67">
        <f t="shared" ca="1" si="23"/>
        <v>0</v>
      </c>
      <c r="J156" s="68">
        <f t="shared" ca="1" si="24"/>
        <v>-1</v>
      </c>
      <c r="K156" s="69">
        <f t="shared" ca="1" si="25"/>
        <v>-38</v>
      </c>
      <c r="L156" s="42">
        <f t="shared" ca="1" si="26"/>
        <v>1754</v>
      </c>
      <c r="M156" s="62">
        <f t="shared" si="27"/>
        <v>1</v>
      </c>
      <c r="N156" s="40">
        <f ca="1">AVERAGE(M156:OFFSET(M156,-(O$5-1),0))</f>
        <v>0.5</v>
      </c>
      <c r="O156" s="63">
        <f t="shared" ca="1" si="28"/>
        <v>0</v>
      </c>
      <c r="P156" s="65">
        <f ca="1">AVERAGE(E156:OFFSET(E156,-(Q$5-1),0))</f>
        <v>4566.375</v>
      </c>
      <c r="Q156" s="41">
        <f ca="1">AVERAGE(E156:OFFSET(E156,-(Q$6-1),0))</f>
        <v>4357.25</v>
      </c>
      <c r="R156" s="63">
        <f t="shared" ca="1" si="29"/>
        <v>0</v>
      </c>
    </row>
    <row r="157" spans="1:18">
      <c r="A157" s="46">
        <v>20081218</v>
      </c>
      <c r="B157" s="47">
        <v>4680</v>
      </c>
      <c r="C157" s="47">
        <v>4705</v>
      </c>
      <c r="D157" s="47">
        <v>4596</v>
      </c>
      <c r="E157" s="47">
        <v>4699</v>
      </c>
      <c r="F157" s="48">
        <v>87267</v>
      </c>
      <c r="G157" s="57">
        <f t="shared" si="21"/>
        <v>57</v>
      </c>
      <c r="H157" s="57">
        <f t="shared" si="22"/>
        <v>19</v>
      </c>
      <c r="I157" s="67">
        <f t="shared" ca="1" si="23"/>
        <v>-1</v>
      </c>
      <c r="J157" s="68">
        <f t="shared" ca="1" si="24"/>
        <v>-1</v>
      </c>
      <c r="K157" s="69">
        <f t="shared" ca="1" si="25"/>
        <v>-76</v>
      </c>
      <c r="L157" s="42">
        <f t="shared" ca="1" si="26"/>
        <v>1678</v>
      </c>
      <c r="M157" s="62">
        <f t="shared" si="27"/>
        <v>1</v>
      </c>
      <c r="N157" s="40">
        <f ca="1">AVERAGE(M157:OFFSET(M157,-(O$5-1),0))</f>
        <v>0.6</v>
      </c>
      <c r="O157" s="63">
        <f t="shared" ca="1" si="28"/>
        <v>-1</v>
      </c>
      <c r="P157" s="65">
        <f ca="1">AVERAGE(E157:OFFSET(E157,-(Q$5-1),0))</f>
        <v>4594.875</v>
      </c>
      <c r="Q157" s="41">
        <f ca="1">AVERAGE(E157:OFFSET(E157,-(Q$6-1),0))</f>
        <v>4397.05</v>
      </c>
      <c r="R157" s="63">
        <f t="shared" ca="1" si="29"/>
        <v>0</v>
      </c>
    </row>
    <row r="158" spans="1:18">
      <c r="A158" s="46">
        <v>20081219</v>
      </c>
      <c r="B158" s="47">
        <v>4662</v>
      </c>
      <c r="C158" s="47">
        <v>4724</v>
      </c>
      <c r="D158" s="47">
        <v>4582</v>
      </c>
      <c r="E158" s="47">
        <v>4680</v>
      </c>
      <c r="F158" s="48">
        <v>108922</v>
      </c>
      <c r="G158" s="57">
        <f t="shared" si="21"/>
        <v>-37</v>
      </c>
      <c r="H158" s="57">
        <f t="shared" si="22"/>
        <v>18</v>
      </c>
      <c r="I158" s="67">
        <f t="shared" ca="1" si="23"/>
        <v>0</v>
      </c>
      <c r="J158" s="68">
        <f t="shared" ca="1" si="24"/>
        <v>-1</v>
      </c>
      <c r="K158" s="69">
        <f t="shared" ca="1" si="25"/>
        <v>19</v>
      </c>
      <c r="L158" s="42">
        <f t="shared" ca="1" si="26"/>
        <v>1697</v>
      </c>
      <c r="M158" s="62">
        <f t="shared" si="27"/>
        <v>0</v>
      </c>
      <c r="N158" s="40">
        <f ca="1">AVERAGE(M158:OFFSET(M158,-(O$5-1),0))</f>
        <v>0.5</v>
      </c>
      <c r="O158" s="63">
        <f t="shared" ca="1" si="28"/>
        <v>0</v>
      </c>
      <c r="P158" s="65">
        <f ca="1">AVERAGE(E158:OFFSET(E158,-(Q$5-1),0))</f>
        <v>4622.375</v>
      </c>
      <c r="Q158" s="41">
        <f ca="1">AVERAGE(E158:OFFSET(E158,-(Q$6-1),0))</f>
        <v>4425</v>
      </c>
      <c r="R158" s="63">
        <f t="shared" ca="1" si="29"/>
        <v>0</v>
      </c>
    </row>
    <row r="159" spans="1:18">
      <c r="A159" s="46">
        <v>20081222</v>
      </c>
      <c r="B159" s="47">
        <v>4720</v>
      </c>
      <c r="C159" s="47">
        <v>4755</v>
      </c>
      <c r="D159" s="47">
        <v>4498</v>
      </c>
      <c r="E159" s="47">
        <v>4529</v>
      </c>
      <c r="F159" s="48">
        <v>100130</v>
      </c>
      <c r="G159" s="57">
        <f t="shared" si="21"/>
        <v>40</v>
      </c>
      <c r="H159" s="57">
        <f t="shared" si="22"/>
        <v>-191</v>
      </c>
      <c r="I159" s="67">
        <f t="shared" ca="1" si="23"/>
        <v>0</v>
      </c>
      <c r="J159" s="68">
        <f t="shared" ca="1" si="24"/>
        <v>-1</v>
      </c>
      <c r="K159" s="69">
        <f t="shared" ca="1" si="25"/>
        <v>151</v>
      </c>
      <c r="L159" s="42">
        <f t="shared" ca="1" si="26"/>
        <v>1848</v>
      </c>
      <c r="M159" s="62">
        <f t="shared" si="27"/>
        <v>0</v>
      </c>
      <c r="N159" s="40">
        <f ca="1">AVERAGE(M159:OFFSET(M159,-(O$5-1),0))</f>
        <v>0.4</v>
      </c>
      <c r="O159" s="63">
        <f t="shared" ca="1" si="28"/>
        <v>0</v>
      </c>
      <c r="P159" s="65">
        <f ca="1">AVERAGE(E159:OFFSET(E159,-(Q$5-1),0))</f>
        <v>4602.125</v>
      </c>
      <c r="Q159" s="41">
        <f ca="1">AVERAGE(E159:OFFSET(E159,-(Q$6-1),0))</f>
        <v>4449.2</v>
      </c>
      <c r="R159" s="63">
        <f t="shared" ca="1" si="29"/>
        <v>0</v>
      </c>
    </row>
    <row r="160" spans="1:18">
      <c r="A160" s="46">
        <v>20081223</v>
      </c>
      <c r="B160" s="47">
        <v>4507</v>
      </c>
      <c r="C160" s="47">
        <v>4524</v>
      </c>
      <c r="D160" s="47">
        <v>4290</v>
      </c>
      <c r="E160" s="47">
        <v>4349</v>
      </c>
      <c r="F160" s="48">
        <v>104865</v>
      </c>
      <c r="G160" s="57">
        <f t="shared" si="21"/>
        <v>-22</v>
      </c>
      <c r="H160" s="57">
        <f t="shared" si="22"/>
        <v>-158</v>
      </c>
      <c r="I160" s="67">
        <f t="shared" ca="1" si="23"/>
        <v>0</v>
      </c>
      <c r="J160" s="68">
        <f t="shared" ca="1" si="24"/>
        <v>-1</v>
      </c>
      <c r="K160" s="69">
        <f t="shared" ca="1" si="25"/>
        <v>180</v>
      </c>
      <c r="L160" s="42">
        <f t="shared" ca="1" si="26"/>
        <v>2028</v>
      </c>
      <c r="M160" s="62">
        <f t="shared" si="27"/>
        <v>0</v>
      </c>
      <c r="N160" s="40">
        <f ca="1">AVERAGE(M160:OFFSET(M160,-(O$5-1),0))</f>
        <v>0.4</v>
      </c>
      <c r="O160" s="63">
        <f t="shared" ca="1" si="28"/>
        <v>0</v>
      </c>
      <c r="P160" s="65">
        <f ca="1">AVERAGE(E160:OFFSET(E160,-(Q$5-1),0))</f>
        <v>4562.5</v>
      </c>
      <c r="Q160" s="41">
        <f ca="1">AVERAGE(E160:OFFSET(E160,-(Q$6-1),0))</f>
        <v>4456.7</v>
      </c>
      <c r="R160" s="63">
        <f t="shared" ca="1" si="29"/>
        <v>0</v>
      </c>
    </row>
    <row r="161" spans="1:18">
      <c r="A161" s="46">
        <v>20081224</v>
      </c>
      <c r="B161" s="47">
        <v>4310</v>
      </c>
      <c r="C161" s="47">
        <v>4399</v>
      </c>
      <c r="D161" s="47">
        <v>4241</v>
      </c>
      <c r="E161" s="47">
        <v>4379</v>
      </c>
      <c r="F161" s="48">
        <v>103165</v>
      </c>
      <c r="G161" s="57">
        <f t="shared" si="21"/>
        <v>-39</v>
      </c>
      <c r="H161" s="57">
        <f t="shared" si="22"/>
        <v>69</v>
      </c>
      <c r="I161" s="67">
        <f t="shared" ca="1" si="23"/>
        <v>0</v>
      </c>
      <c r="J161" s="68">
        <f t="shared" ca="1" si="24"/>
        <v>-1</v>
      </c>
      <c r="K161" s="69">
        <f t="shared" ca="1" si="25"/>
        <v>-30</v>
      </c>
      <c r="L161" s="42">
        <f t="shared" ca="1" si="26"/>
        <v>1998</v>
      </c>
      <c r="M161" s="62">
        <f t="shared" si="27"/>
        <v>1</v>
      </c>
      <c r="N161" s="40">
        <f ca="1">AVERAGE(M161:OFFSET(M161,-(O$5-1),0))</f>
        <v>0.4</v>
      </c>
      <c r="O161" s="63">
        <f t="shared" ca="1" si="28"/>
        <v>0</v>
      </c>
      <c r="P161" s="65">
        <f ca="1">AVERAGE(E161:OFFSET(E161,-(Q$5-1),0))</f>
        <v>4556.75</v>
      </c>
      <c r="Q161" s="41">
        <f ca="1">AVERAGE(E161:OFFSET(E161,-(Q$6-1),0))</f>
        <v>4465.2</v>
      </c>
      <c r="R161" s="63">
        <f t="shared" ca="1" si="29"/>
        <v>0</v>
      </c>
    </row>
    <row r="162" spans="1:18">
      <c r="A162" s="46">
        <v>20081225</v>
      </c>
      <c r="B162" s="47">
        <v>4380</v>
      </c>
      <c r="C162" s="47">
        <v>4405</v>
      </c>
      <c r="D162" s="47">
        <v>4330</v>
      </c>
      <c r="E162" s="47">
        <v>4405</v>
      </c>
      <c r="F162" s="48">
        <v>43402</v>
      </c>
      <c r="G162" s="57">
        <f t="shared" si="21"/>
        <v>1</v>
      </c>
      <c r="H162" s="57">
        <f t="shared" si="22"/>
        <v>25</v>
      </c>
      <c r="I162" s="67">
        <f t="shared" ca="1" si="23"/>
        <v>0</v>
      </c>
      <c r="J162" s="68">
        <f t="shared" ca="1" si="24"/>
        <v>-1</v>
      </c>
      <c r="K162" s="69">
        <f t="shared" ca="1" si="25"/>
        <v>-26</v>
      </c>
      <c r="L162" s="42">
        <f t="shared" ca="1" si="26"/>
        <v>1972</v>
      </c>
      <c r="M162" s="62">
        <f t="shared" si="27"/>
        <v>1</v>
      </c>
      <c r="N162" s="40">
        <f ca="1">AVERAGE(M162:OFFSET(M162,-(O$5-1),0))</f>
        <v>0.5</v>
      </c>
      <c r="O162" s="63">
        <f t="shared" ca="1" si="28"/>
        <v>0</v>
      </c>
      <c r="P162" s="65">
        <f ca="1">AVERAGE(E162:OFFSET(E162,-(Q$5-1),0))</f>
        <v>4531.125</v>
      </c>
      <c r="Q162" s="41">
        <f ca="1">AVERAGE(E162:OFFSET(E162,-(Q$6-1),0))</f>
        <v>4463.95</v>
      </c>
      <c r="R162" s="63">
        <f t="shared" ca="1" si="29"/>
        <v>0</v>
      </c>
    </row>
    <row r="163" spans="1:18">
      <c r="A163" s="46">
        <v>20081226</v>
      </c>
      <c r="B163" s="47">
        <v>4372</v>
      </c>
      <c r="C163" s="47">
        <v>4445</v>
      </c>
      <c r="D163" s="47">
        <v>4339</v>
      </c>
      <c r="E163" s="47">
        <v>4378</v>
      </c>
      <c r="F163" s="48">
        <v>68148</v>
      </c>
      <c r="G163" s="57">
        <f t="shared" si="21"/>
        <v>-33</v>
      </c>
      <c r="H163" s="57">
        <f t="shared" si="22"/>
        <v>6</v>
      </c>
      <c r="I163" s="67">
        <f t="shared" ca="1" si="23"/>
        <v>0</v>
      </c>
      <c r="J163" s="68">
        <f t="shared" ca="1" si="24"/>
        <v>-1</v>
      </c>
      <c r="K163" s="69">
        <f t="shared" ca="1" si="25"/>
        <v>27</v>
      </c>
      <c r="L163" s="42">
        <f t="shared" ca="1" si="26"/>
        <v>1999</v>
      </c>
      <c r="M163" s="62">
        <f t="shared" si="27"/>
        <v>0</v>
      </c>
      <c r="N163" s="40">
        <f ca="1">AVERAGE(M163:OFFSET(M163,-(O$5-1),0))</f>
        <v>0.5</v>
      </c>
      <c r="O163" s="63">
        <f t="shared" ca="1" si="28"/>
        <v>0</v>
      </c>
      <c r="P163" s="65">
        <f ca="1">AVERAGE(E163:OFFSET(E163,-(Q$5-1),0))</f>
        <v>4505.25</v>
      </c>
      <c r="Q163" s="41">
        <f ca="1">AVERAGE(E163:OFFSET(E163,-(Q$6-1),0))</f>
        <v>4459.8500000000004</v>
      </c>
      <c r="R163" s="63">
        <f t="shared" ca="1" si="29"/>
        <v>0</v>
      </c>
    </row>
    <row r="164" spans="1:18">
      <c r="A164" s="46">
        <v>20081229</v>
      </c>
      <c r="B164" s="47">
        <v>4366</v>
      </c>
      <c r="C164" s="47">
        <v>4399</v>
      </c>
      <c r="D164" s="47">
        <v>4316</v>
      </c>
      <c r="E164" s="47">
        <v>4386</v>
      </c>
      <c r="F164" s="48">
        <v>47046</v>
      </c>
      <c r="G164" s="57">
        <f t="shared" si="21"/>
        <v>-12</v>
      </c>
      <c r="H164" s="57">
        <f t="shared" si="22"/>
        <v>20</v>
      </c>
      <c r="I164" s="67">
        <f t="shared" ca="1" si="23"/>
        <v>0</v>
      </c>
      <c r="J164" s="68">
        <f t="shared" ca="1" si="24"/>
        <v>-1</v>
      </c>
      <c r="K164" s="69">
        <f t="shared" ca="1" si="25"/>
        <v>-8</v>
      </c>
      <c r="L164" s="42">
        <f t="shared" ca="1" si="26"/>
        <v>1991</v>
      </c>
      <c r="M164" s="62">
        <f t="shared" si="27"/>
        <v>1</v>
      </c>
      <c r="N164" s="40">
        <f ca="1">AVERAGE(M164:OFFSET(M164,-(O$5-1),0))</f>
        <v>0.5</v>
      </c>
      <c r="O164" s="63">
        <f t="shared" ca="1" si="28"/>
        <v>0</v>
      </c>
      <c r="P164" s="65">
        <f ca="1">AVERAGE(E164:OFFSET(E164,-(Q$5-1),0))</f>
        <v>4475.625</v>
      </c>
      <c r="Q164" s="41">
        <f ca="1">AVERAGE(E164:OFFSET(E164,-(Q$6-1),0))</f>
        <v>4454.1000000000004</v>
      </c>
      <c r="R164" s="63">
        <f t="shared" ca="1" si="29"/>
        <v>0</v>
      </c>
    </row>
    <row r="165" spans="1:18">
      <c r="A165" s="46">
        <v>20081230</v>
      </c>
      <c r="B165" s="47">
        <v>4429</v>
      </c>
      <c r="C165" s="47">
        <v>4605</v>
      </c>
      <c r="D165" s="47">
        <v>4422</v>
      </c>
      <c r="E165" s="47">
        <v>4565</v>
      </c>
      <c r="F165" s="48">
        <v>71659</v>
      </c>
      <c r="G165" s="57">
        <f t="shared" si="21"/>
        <v>43</v>
      </c>
      <c r="H165" s="57">
        <f t="shared" si="22"/>
        <v>136</v>
      </c>
      <c r="I165" s="67">
        <f t="shared" ca="1" si="23"/>
        <v>-1</v>
      </c>
      <c r="J165" s="68">
        <f t="shared" ca="1" si="24"/>
        <v>-1</v>
      </c>
      <c r="K165" s="69">
        <f t="shared" ca="1" si="25"/>
        <v>-179</v>
      </c>
      <c r="L165" s="42">
        <f t="shared" ca="1" si="26"/>
        <v>1812</v>
      </c>
      <c r="M165" s="62">
        <f t="shared" si="27"/>
        <v>1</v>
      </c>
      <c r="N165" s="40">
        <f ca="1">AVERAGE(M165:OFFSET(M165,-(O$5-1),0))</f>
        <v>0.6</v>
      </c>
      <c r="O165" s="63">
        <f t="shared" ca="1" si="28"/>
        <v>-1</v>
      </c>
      <c r="P165" s="65">
        <f ca="1">AVERAGE(E165:OFFSET(E165,-(Q$5-1),0))</f>
        <v>4458.875</v>
      </c>
      <c r="Q165" s="41">
        <f ca="1">AVERAGE(E165:OFFSET(E165,-(Q$6-1),0))</f>
        <v>4470.3500000000004</v>
      </c>
      <c r="R165" s="63">
        <f t="shared" ca="1" si="29"/>
        <v>-1</v>
      </c>
    </row>
    <row r="166" spans="1:18">
      <c r="A166" s="46">
        <v>20081231</v>
      </c>
      <c r="B166" s="47">
        <v>4605</v>
      </c>
      <c r="C166" s="47">
        <v>4614</v>
      </c>
      <c r="D166" s="47">
        <v>4485</v>
      </c>
      <c r="E166" s="47">
        <v>4540</v>
      </c>
      <c r="F166" s="48">
        <v>68206</v>
      </c>
      <c r="G166" s="57">
        <f t="shared" si="21"/>
        <v>40</v>
      </c>
      <c r="H166" s="57">
        <f t="shared" si="22"/>
        <v>-65</v>
      </c>
      <c r="I166" s="67">
        <f t="shared" ca="1" si="23"/>
        <v>0</v>
      </c>
      <c r="J166" s="68">
        <f t="shared" ca="1" si="24"/>
        <v>-1</v>
      </c>
      <c r="K166" s="69">
        <f t="shared" ca="1" si="25"/>
        <v>25</v>
      </c>
      <c r="L166" s="42">
        <f t="shared" ca="1" si="26"/>
        <v>1837</v>
      </c>
      <c r="M166" s="62">
        <f t="shared" si="27"/>
        <v>0</v>
      </c>
      <c r="N166" s="40">
        <f ca="1">AVERAGE(M166:OFFSET(M166,-(O$5-1),0))</f>
        <v>0.5</v>
      </c>
      <c r="O166" s="63">
        <f t="shared" ca="1" si="28"/>
        <v>0</v>
      </c>
      <c r="P166" s="65">
        <f ca="1">AVERAGE(E166:OFFSET(E166,-(Q$5-1),0))</f>
        <v>4441.375</v>
      </c>
      <c r="Q166" s="41">
        <f ca="1">AVERAGE(E166:OFFSET(E166,-(Q$6-1),0))</f>
        <v>4487.95</v>
      </c>
      <c r="R166" s="63">
        <f t="shared" ca="1" si="29"/>
        <v>0</v>
      </c>
    </row>
    <row r="167" spans="1:18">
      <c r="A167" s="46">
        <v>20090105</v>
      </c>
      <c r="B167" s="47">
        <v>4722</v>
      </c>
      <c r="C167" s="47">
        <v>4797</v>
      </c>
      <c r="D167" s="47">
        <v>4634</v>
      </c>
      <c r="E167" s="47">
        <v>4670</v>
      </c>
      <c r="F167" s="48">
        <v>97869</v>
      </c>
      <c r="G167" s="57">
        <f t="shared" si="21"/>
        <v>182</v>
      </c>
      <c r="H167" s="57">
        <f t="shared" si="22"/>
        <v>-52</v>
      </c>
      <c r="I167" s="67">
        <f t="shared" ca="1" si="23"/>
        <v>0</v>
      </c>
      <c r="J167" s="68">
        <f t="shared" ca="1" si="24"/>
        <v>-1</v>
      </c>
      <c r="K167" s="69">
        <f t="shared" ca="1" si="25"/>
        <v>-130</v>
      </c>
      <c r="L167" s="42">
        <f t="shared" ca="1" si="26"/>
        <v>1707</v>
      </c>
      <c r="M167" s="62">
        <f t="shared" si="27"/>
        <v>1</v>
      </c>
      <c r="N167" s="40">
        <f ca="1">AVERAGE(M167:OFFSET(M167,-(O$5-1),0))</f>
        <v>0.5</v>
      </c>
      <c r="O167" s="63">
        <f t="shared" ca="1" si="28"/>
        <v>0</v>
      </c>
      <c r="P167" s="65">
        <f ca="1">AVERAGE(E167:OFFSET(E167,-(Q$5-1),0))</f>
        <v>4459</v>
      </c>
      <c r="Q167" s="41">
        <f ca="1">AVERAGE(E167:OFFSET(E167,-(Q$6-1),0))</f>
        <v>4514.5</v>
      </c>
      <c r="R167" s="63">
        <f t="shared" ca="1" si="29"/>
        <v>0</v>
      </c>
    </row>
    <row r="168" spans="1:18">
      <c r="A168" s="46">
        <v>20090106</v>
      </c>
      <c r="B168" s="47">
        <v>4699</v>
      </c>
      <c r="C168" s="47">
        <v>4735</v>
      </c>
      <c r="D168" s="47">
        <v>4638</v>
      </c>
      <c r="E168" s="47">
        <v>4706</v>
      </c>
      <c r="F168" s="48">
        <v>90227</v>
      </c>
      <c r="G168" s="57">
        <f t="shared" si="21"/>
        <v>29</v>
      </c>
      <c r="H168" s="57">
        <f t="shared" si="22"/>
        <v>7</v>
      </c>
      <c r="I168" s="67">
        <f t="shared" ca="1" si="23"/>
        <v>-1</v>
      </c>
      <c r="J168" s="68">
        <f t="shared" ca="1" si="24"/>
        <v>-1</v>
      </c>
      <c r="K168" s="69">
        <f t="shared" ca="1" si="25"/>
        <v>-36</v>
      </c>
      <c r="L168" s="42">
        <f t="shared" ca="1" si="26"/>
        <v>1671</v>
      </c>
      <c r="M168" s="62">
        <f t="shared" si="27"/>
        <v>1</v>
      </c>
      <c r="N168" s="40">
        <f ca="1">AVERAGE(M168:OFFSET(M168,-(O$5-1),0))</f>
        <v>0.6</v>
      </c>
      <c r="O168" s="63">
        <f t="shared" ca="1" si="28"/>
        <v>-1</v>
      </c>
      <c r="P168" s="65">
        <f ca="1">AVERAGE(E168:OFFSET(E168,-(Q$5-1),0))</f>
        <v>4503.625</v>
      </c>
      <c r="Q168" s="41">
        <f ca="1">AVERAGE(E168:OFFSET(E168,-(Q$6-1),0))</f>
        <v>4540.8500000000004</v>
      </c>
      <c r="R168" s="63">
        <f t="shared" ca="1" si="29"/>
        <v>0</v>
      </c>
    </row>
    <row r="169" spans="1:18">
      <c r="A169" s="46">
        <v>20090107</v>
      </c>
      <c r="B169" s="47">
        <v>4758</v>
      </c>
      <c r="C169" s="47">
        <v>4802</v>
      </c>
      <c r="D169" s="47">
        <v>4711</v>
      </c>
      <c r="E169" s="47">
        <v>4752</v>
      </c>
      <c r="F169" s="48">
        <v>90777</v>
      </c>
      <c r="G169" s="57">
        <f t="shared" si="21"/>
        <v>52</v>
      </c>
      <c r="H169" s="57">
        <f t="shared" si="22"/>
        <v>-6</v>
      </c>
      <c r="I169" s="67">
        <f t="shared" ca="1" si="23"/>
        <v>-1</v>
      </c>
      <c r="J169" s="68">
        <f t="shared" ca="1" si="24"/>
        <v>-1</v>
      </c>
      <c r="K169" s="69">
        <f t="shared" ca="1" si="25"/>
        <v>-46</v>
      </c>
      <c r="L169" s="42">
        <f t="shared" ca="1" si="26"/>
        <v>1625</v>
      </c>
      <c r="M169" s="62">
        <f t="shared" si="27"/>
        <v>1</v>
      </c>
      <c r="N169" s="40">
        <f ca="1">AVERAGE(M169:OFFSET(M169,-(O$5-1),0))</f>
        <v>0.7</v>
      </c>
      <c r="O169" s="63">
        <f t="shared" ca="1" si="28"/>
        <v>-1</v>
      </c>
      <c r="P169" s="65">
        <f ca="1">AVERAGE(E169:OFFSET(E169,-(Q$5-1),0))</f>
        <v>4550.25</v>
      </c>
      <c r="Q169" s="41">
        <f ca="1">AVERAGE(E169:OFFSET(E169,-(Q$6-1),0))</f>
        <v>4554.8999999999996</v>
      </c>
      <c r="R169" s="63">
        <f t="shared" ca="1" si="29"/>
        <v>0</v>
      </c>
    </row>
    <row r="170" spans="1:18">
      <c r="A170" s="46">
        <v>20090108</v>
      </c>
      <c r="B170" s="47">
        <v>4650</v>
      </c>
      <c r="C170" s="47">
        <v>4650</v>
      </c>
      <c r="D170" s="47">
        <v>4434</v>
      </c>
      <c r="E170" s="47">
        <v>4452</v>
      </c>
      <c r="F170" s="48">
        <v>95219</v>
      </c>
      <c r="G170" s="57">
        <f t="shared" si="21"/>
        <v>-102</v>
      </c>
      <c r="H170" s="57">
        <f t="shared" si="22"/>
        <v>-198</v>
      </c>
      <c r="I170" s="67">
        <f t="shared" ca="1" si="23"/>
        <v>1</v>
      </c>
      <c r="J170" s="68">
        <f t="shared" ca="1" si="24"/>
        <v>-1</v>
      </c>
      <c r="K170" s="69">
        <f t="shared" ca="1" si="25"/>
        <v>300</v>
      </c>
      <c r="L170" s="42">
        <f t="shared" ca="1" si="26"/>
        <v>1925</v>
      </c>
      <c r="M170" s="62">
        <f t="shared" si="27"/>
        <v>0</v>
      </c>
      <c r="N170" s="40">
        <f ca="1">AVERAGE(M170:OFFSET(M170,-(O$5-1),0))</f>
        <v>0.7</v>
      </c>
      <c r="O170" s="63">
        <f t="shared" ca="1" si="28"/>
        <v>-1</v>
      </c>
      <c r="P170" s="65">
        <f ca="1">AVERAGE(E170:OFFSET(E170,-(Q$5-1),0))</f>
        <v>4556.125</v>
      </c>
      <c r="Q170" s="41">
        <f ca="1">AVERAGE(E170:OFFSET(E170,-(Q$6-1),0))</f>
        <v>4554.5</v>
      </c>
      <c r="R170" s="63">
        <f t="shared" ca="1" si="29"/>
        <v>1</v>
      </c>
    </row>
    <row r="171" spans="1:18">
      <c r="A171" s="46">
        <v>20090109</v>
      </c>
      <c r="B171" s="47">
        <v>4447</v>
      </c>
      <c r="C171" s="47">
        <v>4495</v>
      </c>
      <c r="D171" s="47">
        <v>4405</v>
      </c>
      <c r="E171" s="47">
        <v>4421</v>
      </c>
      <c r="F171" s="48">
        <v>90292</v>
      </c>
      <c r="G171" s="57">
        <f t="shared" si="21"/>
        <v>-5</v>
      </c>
      <c r="H171" s="57">
        <f t="shared" si="22"/>
        <v>-26</v>
      </c>
      <c r="I171" s="67">
        <f t="shared" ca="1" si="23"/>
        <v>-1</v>
      </c>
      <c r="J171" s="68">
        <f t="shared" ca="1" si="24"/>
        <v>0</v>
      </c>
      <c r="K171" s="69">
        <f t="shared" ca="1" si="25"/>
        <v>5</v>
      </c>
      <c r="L171" s="42">
        <f t="shared" ca="1" si="26"/>
        <v>1930</v>
      </c>
      <c r="M171" s="62">
        <f t="shared" si="27"/>
        <v>0</v>
      </c>
      <c r="N171" s="40">
        <f ca="1">AVERAGE(M171:OFFSET(M171,-(O$5-1),0))</f>
        <v>0.6</v>
      </c>
      <c r="O171" s="63">
        <f t="shared" ca="1" si="28"/>
        <v>-1</v>
      </c>
      <c r="P171" s="65">
        <f ca="1">AVERAGE(E171:OFFSET(E171,-(Q$5-1),0))</f>
        <v>4561.5</v>
      </c>
      <c r="Q171" s="41">
        <f ca="1">AVERAGE(E171:OFFSET(E171,-(Q$6-1),0))</f>
        <v>4541</v>
      </c>
      <c r="R171" s="63">
        <f t="shared" ca="1" si="29"/>
        <v>0</v>
      </c>
    </row>
    <row r="172" spans="1:18">
      <c r="A172" s="46">
        <v>20090110</v>
      </c>
      <c r="B172" s="47">
        <v>4362</v>
      </c>
      <c r="C172" s="47">
        <v>4425</v>
      </c>
      <c r="D172" s="47">
        <v>4344</v>
      </c>
      <c r="E172" s="47">
        <v>4374</v>
      </c>
      <c r="F172" s="48">
        <v>56091</v>
      </c>
      <c r="G172" s="57">
        <f t="shared" si="21"/>
        <v>-59</v>
      </c>
      <c r="H172" s="57">
        <f t="shared" si="22"/>
        <v>12</v>
      </c>
      <c r="I172" s="67">
        <f t="shared" ca="1" si="23"/>
        <v>0</v>
      </c>
      <c r="J172" s="68">
        <f t="shared" ca="1" si="24"/>
        <v>-1</v>
      </c>
      <c r="K172" s="69">
        <f t="shared" ca="1" si="25"/>
        <v>-12</v>
      </c>
      <c r="L172" s="42">
        <f t="shared" ca="1" si="26"/>
        <v>1918</v>
      </c>
      <c r="M172" s="62">
        <f t="shared" si="27"/>
        <v>0</v>
      </c>
      <c r="N172" s="40">
        <f ca="1">AVERAGE(M172:OFFSET(M172,-(O$5-1),0))</f>
        <v>0.5</v>
      </c>
      <c r="O172" s="63">
        <f t="shared" ca="1" si="28"/>
        <v>0</v>
      </c>
      <c r="P172" s="65">
        <f ca="1">AVERAGE(E172:OFFSET(E172,-(Q$5-1),0))</f>
        <v>4560</v>
      </c>
      <c r="Q172" s="41">
        <f ca="1">AVERAGE(E172:OFFSET(E172,-(Q$6-1),0))</f>
        <v>4526.3999999999996</v>
      </c>
      <c r="R172" s="63">
        <f t="shared" ca="1" si="29"/>
        <v>0</v>
      </c>
    </row>
    <row r="173" spans="1:18">
      <c r="A173" s="46">
        <v>20090112</v>
      </c>
      <c r="B173" s="47">
        <v>4386</v>
      </c>
      <c r="C173" s="47">
        <v>4472</v>
      </c>
      <c r="D173" s="47">
        <v>4350</v>
      </c>
      <c r="E173" s="47">
        <v>4429</v>
      </c>
      <c r="F173" s="48">
        <v>93169</v>
      </c>
      <c r="G173" s="57">
        <f t="shared" si="21"/>
        <v>12</v>
      </c>
      <c r="H173" s="57">
        <f t="shared" si="22"/>
        <v>43</v>
      </c>
      <c r="I173" s="67">
        <f t="shared" ca="1" si="23"/>
        <v>-1</v>
      </c>
      <c r="J173" s="68">
        <f t="shared" ca="1" si="24"/>
        <v>-1</v>
      </c>
      <c r="K173" s="69">
        <f t="shared" ca="1" si="25"/>
        <v>-55</v>
      </c>
      <c r="L173" s="42">
        <f t="shared" ca="1" si="26"/>
        <v>1863</v>
      </c>
      <c r="M173" s="62">
        <f t="shared" si="27"/>
        <v>1</v>
      </c>
      <c r="N173" s="40">
        <f ca="1">AVERAGE(M173:OFFSET(M173,-(O$5-1),0))</f>
        <v>0.6</v>
      </c>
      <c r="O173" s="63">
        <f t="shared" ca="1" si="28"/>
        <v>-1</v>
      </c>
      <c r="P173" s="65">
        <f ca="1">AVERAGE(E173:OFFSET(E173,-(Q$5-1),0))</f>
        <v>4543</v>
      </c>
      <c r="Q173" s="41">
        <f ca="1">AVERAGE(E173:OFFSET(E173,-(Q$6-1),0))</f>
        <v>4526.6000000000004</v>
      </c>
      <c r="R173" s="63">
        <f t="shared" ca="1" si="29"/>
        <v>0</v>
      </c>
    </row>
    <row r="174" spans="1:18">
      <c r="A174" s="46">
        <v>20090113</v>
      </c>
      <c r="B174" s="47">
        <v>4361</v>
      </c>
      <c r="C174" s="47">
        <v>4524</v>
      </c>
      <c r="D174" s="47">
        <v>4360</v>
      </c>
      <c r="E174" s="47">
        <v>4518</v>
      </c>
      <c r="F174" s="48">
        <v>93060</v>
      </c>
      <c r="G174" s="57">
        <f t="shared" si="21"/>
        <v>-68</v>
      </c>
      <c r="H174" s="57">
        <f t="shared" si="22"/>
        <v>157</v>
      </c>
      <c r="I174" s="67">
        <f t="shared" ca="1" si="23"/>
        <v>-1</v>
      </c>
      <c r="J174" s="68">
        <f t="shared" ca="1" si="24"/>
        <v>-1</v>
      </c>
      <c r="K174" s="69">
        <f t="shared" ca="1" si="25"/>
        <v>-89</v>
      </c>
      <c r="L174" s="42">
        <f t="shared" ca="1" si="26"/>
        <v>1774</v>
      </c>
      <c r="M174" s="62">
        <f t="shared" si="27"/>
        <v>1</v>
      </c>
      <c r="N174" s="40">
        <f ca="1">AVERAGE(M174:OFFSET(M174,-(O$5-1),0))</f>
        <v>0.6</v>
      </c>
      <c r="O174" s="63">
        <f t="shared" ca="1" si="28"/>
        <v>-1</v>
      </c>
      <c r="P174" s="65">
        <f ca="1">AVERAGE(E174:OFFSET(E174,-(Q$5-1),0))</f>
        <v>4540.25</v>
      </c>
      <c r="Q174" s="41">
        <f ca="1">AVERAGE(E174:OFFSET(E174,-(Q$6-1),0))</f>
        <v>4522</v>
      </c>
      <c r="R174" s="63">
        <f t="shared" ca="1" si="29"/>
        <v>0</v>
      </c>
    </row>
    <row r="175" spans="1:18">
      <c r="A175" s="46">
        <v>20090114</v>
      </c>
      <c r="B175" s="47">
        <v>4490</v>
      </c>
      <c r="C175" s="47">
        <v>4552</v>
      </c>
      <c r="D175" s="47">
        <v>4478</v>
      </c>
      <c r="E175" s="47">
        <v>4510</v>
      </c>
      <c r="F175" s="48">
        <v>81258</v>
      </c>
      <c r="G175" s="57">
        <f t="shared" si="21"/>
        <v>-28</v>
      </c>
      <c r="H175" s="57">
        <f t="shared" si="22"/>
        <v>20</v>
      </c>
      <c r="I175" s="67">
        <f t="shared" ca="1" si="23"/>
        <v>0</v>
      </c>
      <c r="J175" s="68">
        <f t="shared" ca="1" si="24"/>
        <v>-1</v>
      </c>
      <c r="K175" s="69">
        <f t="shared" ca="1" si="25"/>
        <v>8</v>
      </c>
      <c r="L175" s="42">
        <f t="shared" ca="1" si="26"/>
        <v>1782</v>
      </c>
      <c r="M175" s="62">
        <f t="shared" si="27"/>
        <v>0</v>
      </c>
      <c r="N175" s="40">
        <f ca="1">AVERAGE(M175:OFFSET(M175,-(O$5-1),0))</f>
        <v>0.5</v>
      </c>
      <c r="O175" s="63">
        <f t="shared" ca="1" si="28"/>
        <v>0</v>
      </c>
      <c r="P175" s="65">
        <f ca="1">AVERAGE(E175:OFFSET(E175,-(Q$5-1),0))</f>
        <v>4520.25</v>
      </c>
      <c r="Q175" s="41">
        <f ca="1">AVERAGE(E175:OFFSET(E175,-(Q$6-1),0))</f>
        <v>4518.25</v>
      </c>
      <c r="R175" s="63">
        <f t="shared" ca="1" si="29"/>
        <v>0</v>
      </c>
    </row>
    <row r="176" spans="1:18">
      <c r="A176" s="46">
        <v>20090115</v>
      </c>
      <c r="B176" s="47">
        <v>4222</v>
      </c>
      <c r="C176" s="47">
        <v>4300</v>
      </c>
      <c r="D176" s="47">
        <v>4222</v>
      </c>
      <c r="E176" s="47">
        <v>4239</v>
      </c>
      <c r="F176" s="48">
        <v>74394</v>
      </c>
      <c r="G176" s="57">
        <f t="shared" si="21"/>
        <v>-288</v>
      </c>
      <c r="H176" s="57">
        <f t="shared" si="22"/>
        <v>17</v>
      </c>
      <c r="I176" s="67">
        <f t="shared" ca="1" si="23"/>
        <v>-1</v>
      </c>
      <c r="J176" s="68">
        <f t="shared" ca="1" si="24"/>
        <v>-1</v>
      </c>
      <c r="K176" s="69">
        <f t="shared" ca="1" si="25"/>
        <v>271</v>
      </c>
      <c r="L176" s="42">
        <f t="shared" ca="1" si="26"/>
        <v>2053</v>
      </c>
      <c r="M176" s="62">
        <f t="shared" si="27"/>
        <v>0</v>
      </c>
      <c r="N176" s="40">
        <f ca="1">AVERAGE(M176:OFFSET(M176,-(O$5-1),0))</f>
        <v>0.5</v>
      </c>
      <c r="O176" s="63">
        <f t="shared" ca="1" si="28"/>
        <v>0</v>
      </c>
      <c r="P176" s="65">
        <f ca="1">AVERAGE(E176:OFFSET(E176,-(Q$5-1),0))</f>
        <v>4461.875</v>
      </c>
      <c r="Q176" s="41">
        <f ca="1">AVERAGE(E176:OFFSET(E176,-(Q$6-1),0))</f>
        <v>4499.05</v>
      </c>
      <c r="R176" s="63">
        <f t="shared" ca="1" si="29"/>
        <v>-1</v>
      </c>
    </row>
    <row r="177" spans="1:18">
      <c r="A177" s="46">
        <v>20090116</v>
      </c>
      <c r="B177" s="47">
        <v>4277</v>
      </c>
      <c r="C177" s="47">
        <v>4329</v>
      </c>
      <c r="D177" s="47">
        <v>4250</v>
      </c>
      <c r="E177" s="47">
        <v>4323</v>
      </c>
      <c r="F177" s="48">
        <v>76692</v>
      </c>
      <c r="G177" s="57">
        <f t="shared" si="21"/>
        <v>38</v>
      </c>
      <c r="H177" s="57">
        <f t="shared" si="22"/>
        <v>46</v>
      </c>
      <c r="I177" s="67">
        <f t="shared" ca="1" si="23"/>
        <v>0</v>
      </c>
      <c r="J177" s="68">
        <f t="shared" ca="1" si="24"/>
        <v>-1</v>
      </c>
      <c r="K177" s="69">
        <f t="shared" ca="1" si="25"/>
        <v>-84</v>
      </c>
      <c r="L177" s="42">
        <f t="shared" ca="1" si="26"/>
        <v>1969</v>
      </c>
      <c r="M177" s="62">
        <f t="shared" si="27"/>
        <v>1</v>
      </c>
      <c r="N177" s="40">
        <f ca="1">AVERAGE(M177:OFFSET(M177,-(O$5-1),0))</f>
        <v>0.5</v>
      </c>
      <c r="O177" s="63">
        <f t="shared" ca="1" si="28"/>
        <v>0</v>
      </c>
      <c r="P177" s="65">
        <f ca="1">AVERAGE(E177:OFFSET(E177,-(Q$5-1),0))</f>
        <v>4408.25</v>
      </c>
      <c r="Q177" s="41">
        <f ca="1">AVERAGE(E177:OFFSET(E177,-(Q$6-1),0))</f>
        <v>4480.25</v>
      </c>
      <c r="R177" s="63">
        <f t="shared" ca="1" si="29"/>
        <v>0</v>
      </c>
    </row>
    <row r="178" spans="1:18">
      <c r="A178" s="46">
        <v>20090117</v>
      </c>
      <c r="B178" s="47">
        <v>4330</v>
      </c>
      <c r="C178" s="47">
        <v>4358</v>
      </c>
      <c r="D178" s="47">
        <v>4306</v>
      </c>
      <c r="E178" s="47">
        <v>4349</v>
      </c>
      <c r="F178" s="48">
        <v>38280</v>
      </c>
      <c r="G178" s="57">
        <f t="shared" si="21"/>
        <v>7</v>
      </c>
      <c r="H178" s="57">
        <f t="shared" si="22"/>
        <v>19</v>
      </c>
      <c r="I178" s="67">
        <f t="shared" ca="1" si="23"/>
        <v>0</v>
      </c>
      <c r="J178" s="68">
        <f t="shared" ca="1" si="24"/>
        <v>-1</v>
      </c>
      <c r="K178" s="69">
        <f t="shared" ca="1" si="25"/>
        <v>-26</v>
      </c>
      <c r="L178" s="42">
        <f t="shared" ca="1" si="26"/>
        <v>1943</v>
      </c>
      <c r="M178" s="62">
        <f t="shared" si="27"/>
        <v>1</v>
      </c>
      <c r="N178" s="40">
        <f ca="1">AVERAGE(M178:OFFSET(M178,-(O$5-1),0))</f>
        <v>0.5</v>
      </c>
      <c r="O178" s="63">
        <f t="shared" ca="1" si="28"/>
        <v>0</v>
      </c>
      <c r="P178" s="65">
        <f ca="1">AVERAGE(E178:OFFSET(E178,-(Q$5-1),0))</f>
        <v>4395.375</v>
      </c>
      <c r="Q178" s="41">
        <f ca="1">AVERAGE(E178:OFFSET(E178,-(Q$6-1),0))</f>
        <v>4463.7</v>
      </c>
      <c r="R178" s="63">
        <f t="shared" ca="1" si="29"/>
        <v>0</v>
      </c>
    </row>
    <row r="179" spans="1:18">
      <c r="A179" s="46">
        <v>20090119</v>
      </c>
      <c r="B179" s="47">
        <v>4378</v>
      </c>
      <c r="C179" s="47">
        <v>4394</v>
      </c>
      <c r="D179" s="47">
        <v>4325</v>
      </c>
      <c r="E179" s="47">
        <v>4357</v>
      </c>
      <c r="F179" s="48">
        <v>48529</v>
      </c>
      <c r="G179" s="57">
        <f t="shared" si="21"/>
        <v>29</v>
      </c>
      <c r="H179" s="57">
        <f t="shared" si="22"/>
        <v>-21</v>
      </c>
      <c r="I179" s="67">
        <f t="shared" ca="1" si="23"/>
        <v>0</v>
      </c>
      <c r="J179" s="68">
        <f t="shared" ca="1" si="24"/>
        <v>-1</v>
      </c>
      <c r="K179" s="69">
        <f t="shared" ca="1" si="25"/>
        <v>-8</v>
      </c>
      <c r="L179" s="42">
        <f t="shared" ca="1" si="26"/>
        <v>1935</v>
      </c>
      <c r="M179" s="62">
        <f t="shared" si="27"/>
        <v>1</v>
      </c>
      <c r="N179" s="40">
        <f ca="1">AVERAGE(M179:OFFSET(M179,-(O$5-1),0))</f>
        <v>0.5</v>
      </c>
      <c r="O179" s="63">
        <f t="shared" ca="1" si="28"/>
        <v>0</v>
      </c>
      <c r="P179" s="65">
        <f ca="1">AVERAGE(E179:OFFSET(E179,-(Q$5-1),0))</f>
        <v>4387.375</v>
      </c>
      <c r="Q179" s="41">
        <f ca="1">AVERAGE(E179:OFFSET(E179,-(Q$6-1),0))</f>
        <v>4455.1000000000004</v>
      </c>
      <c r="R179" s="63">
        <f t="shared" ca="1" si="29"/>
        <v>0</v>
      </c>
    </row>
    <row r="180" spans="1:18">
      <c r="A180" s="46">
        <v>20090120</v>
      </c>
      <c r="B180" s="47">
        <v>4266</v>
      </c>
      <c r="C180" s="47">
        <v>4269</v>
      </c>
      <c r="D180" s="47">
        <v>4205</v>
      </c>
      <c r="E180" s="47">
        <v>4240</v>
      </c>
      <c r="F180" s="48">
        <v>43414</v>
      </c>
      <c r="G180" s="57">
        <f t="shared" si="21"/>
        <v>-91</v>
      </c>
      <c r="H180" s="57">
        <f t="shared" si="22"/>
        <v>-26</v>
      </c>
      <c r="I180" s="67">
        <f t="shared" ca="1" si="23"/>
        <v>0</v>
      </c>
      <c r="J180" s="68">
        <f t="shared" ca="1" si="24"/>
        <v>-1</v>
      </c>
      <c r="K180" s="69">
        <f t="shared" ca="1" si="25"/>
        <v>117</v>
      </c>
      <c r="L180" s="42">
        <f t="shared" ca="1" si="26"/>
        <v>2052</v>
      </c>
      <c r="M180" s="62">
        <f t="shared" si="27"/>
        <v>0</v>
      </c>
      <c r="N180" s="40">
        <f ca="1">AVERAGE(M180:OFFSET(M180,-(O$5-1),0))</f>
        <v>0.5</v>
      </c>
      <c r="O180" s="63">
        <f t="shared" ca="1" si="28"/>
        <v>0</v>
      </c>
      <c r="P180" s="65">
        <f ca="1">AVERAGE(E180:OFFSET(E180,-(Q$5-1),0))</f>
        <v>4370.625</v>
      </c>
      <c r="Q180" s="41">
        <f ca="1">AVERAGE(E180:OFFSET(E180,-(Q$6-1),0))</f>
        <v>4449.6499999999996</v>
      </c>
      <c r="R180" s="63">
        <f t="shared" ca="1" si="29"/>
        <v>0</v>
      </c>
    </row>
    <row r="181" spans="1:18">
      <c r="A181" s="46">
        <v>20090121</v>
      </c>
      <c r="B181" s="47">
        <v>4052</v>
      </c>
      <c r="C181" s="47">
        <v>4170</v>
      </c>
      <c r="D181" s="47">
        <v>4033</v>
      </c>
      <c r="E181" s="47">
        <v>4132</v>
      </c>
      <c r="F181" s="48">
        <v>42861</v>
      </c>
      <c r="G181" s="57">
        <f t="shared" si="21"/>
        <v>-188</v>
      </c>
      <c r="H181" s="57">
        <f t="shared" si="22"/>
        <v>80</v>
      </c>
      <c r="I181" s="67">
        <f t="shared" ca="1" si="23"/>
        <v>0</v>
      </c>
      <c r="J181" s="68">
        <f t="shared" ca="1" si="24"/>
        <v>-1</v>
      </c>
      <c r="K181" s="69">
        <f t="shared" ca="1" si="25"/>
        <v>108</v>
      </c>
      <c r="L181" s="42">
        <f t="shared" ca="1" si="26"/>
        <v>2160</v>
      </c>
      <c r="M181" s="62">
        <f t="shared" si="27"/>
        <v>0</v>
      </c>
      <c r="N181" s="40">
        <f ca="1">AVERAGE(M181:OFFSET(M181,-(O$5-1),0))</f>
        <v>0.5</v>
      </c>
      <c r="O181" s="63">
        <f t="shared" ca="1" si="28"/>
        <v>0</v>
      </c>
      <c r="P181" s="65">
        <f ca="1">AVERAGE(E181:OFFSET(E181,-(Q$5-1),0))</f>
        <v>4333.5</v>
      </c>
      <c r="Q181" s="41">
        <f ca="1">AVERAGE(E181:OFFSET(E181,-(Q$6-1),0))</f>
        <v>4437.3</v>
      </c>
      <c r="R181" s="63">
        <f t="shared" ca="1" si="29"/>
        <v>0</v>
      </c>
    </row>
    <row r="182" spans="1:18">
      <c r="A182" s="46">
        <v>20090202</v>
      </c>
      <c r="B182" s="47">
        <v>4199</v>
      </c>
      <c r="C182" s="47">
        <v>4199</v>
      </c>
      <c r="D182" s="47">
        <v>4106</v>
      </c>
      <c r="E182" s="47">
        <v>4161</v>
      </c>
      <c r="F182" s="48">
        <v>50688</v>
      </c>
      <c r="G182" s="57">
        <f t="shared" si="21"/>
        <v>67</v>
      </c>
      <c r="H182" s="57">
        <f t="shared" si="22"/>
        <v>-38</v>
      </c>
      <c r="I182" s="67">
        <f t="shared" ca="1" si="23"/>
        <v>-1</v>
      </c>
      <c r="J182" s="68">
        <f t="shared" ca="1" si="24"/>
        <v>-1</v>
      </c>
      <c r="K182" s="69">
        <f t="shared" ca="1" si="25"/>
        <v>-29</v>
      </c>
      <c r="L182" s="42">
        <f t="shared" ca="1" si="26"/>
        <v>2131</v>
      </c>
      <c r="M182" s="62">
        <f t="shared" si="27"/>
        <v>1</v>
      </c>
      <c r="N182" s="40">
        <f ca="1">AVERAGE(M182:OFFSET(M182,-(O$5-1),0))</f>
        <v>0.6</v>
      </c>
      <c r="O182" s="63">
        <f t="shared" ca="1" si="28"/>
        <v>-1</v>
      </c>
      <c r="P182" s="65">
        <f ca="1">AVERAGE(E182:OFFSET(E182,-(Q$5-1),0))</f>
        <v>4288.875</v>
      </c>
      <c r="Q182" s="41">
        <f ca="1">AVERAGE(E182:OFFSET(E182,-(Q$6-1),0))</f>
        <v>4425.1000000000004</v>
      </c>
      <c r="R182" s="63">
        <f t="shared" ca="1" si="29"/>
        <v>0</v>
      </c>
    </row>
    <row r="183" spans="1:18">
      <c r="A183" s="46">
        <v>20090203</v>
      </c>
      <c r="B183" s="47">
        <v>4168</v>
      </c>
      <c r="C183" s="47">
        <v>4328</v>
      </c>
      <c r="D183" s="47">
        <v>4161</v>
      </c>
      <c r="E183" s="47">
        <v>4275</v>
      </c>
      <c r="F183" s="48">
        <v>77589</v>
      </c>
      <c r="G183" s="57">
        <f t="shared" si="21"/>
        <v>7</v>
      </c>
      <c r="H183" s="57">
        <f t="shared" si="22"/>
        <v>107</v>
      </c>
      <c r="I183" s="67">
        <f t="shared" ca="1" si="23"/>
        <v>-1</v>
      </c>
      <c r="J183" s="68">
        <f t="shared" ca="1" si="24"/>
        <v>-1</v>
      </c>
      <c r="K183" s="69">
        <f t="shared" ca="1" si="25"/>
        <v>-114</v>
      </c>
      <c r="L183" s="42">
        <f t="shared" ca="1" si="26"/>
        <v>2017</v>
      </c>
      <c r="M183" s="62">
        <f t="shared" si="27"/>
        <v>1</v>
      </c>
      <c r="N183" s="40">
        <f ca="1">AVERAGE(M183:OFFSET(M183,-(O$5-1),0))</f>
        <v>0.6</v>
      </c>
      <c r="O183" s="63">
        <f t="shared" ca="1" si="28"/>
        <v>-1</v>
      </c>
      <c r="P183" s="65">
        <f ca="1">AVERAGE(E183:OFFSET(E183,-(Q$5-1),0))</f>
        <v>4259.5</v>
      </c>
      <c r="Q183" s="41">
        <f ca="1">AVERAGE(E183:OFFSET(E183,-(Q$6-1),0))</f>
        <v>4419.95</v>
      </c>
      <c r="R183" s="63">
        <f t="shared" ca="1" si="29"/>
        <v>0</v>
      </c>
    </row>
    <row r="184" spans="1:18">
      <c r="A184" s="46">
        <v>20090204</v>
      </c>
      <c r="B184" s="47">
        <v>4327</v>
      </c>
      <c r="C184" s="47">
        <v>4375</v>
      </c>
      <c r="D184" s="47">
        <v>4285</v>
      </c>
      <c r="E184" s="47">
        <v>4351</v>
      </c>
      <c r="F184" s="48">
        <v>68218</v>
      </c>
      <c r="G184" s="57">
        <f t="shared" si="21"/>
        <v>52</v>
      </c>
      <c r="H184" s="57">
        <f t="shared" si="22"/>
        <v>24</v>
      </c>
      <c r="I184" s="67">
        <f t="shared" ca="1" si="23"/>
        <v>-1</v>
      </c>
      <c r="J184" s="68">
        <f t="shared" ca="1" si="24"/>
        <v>-1</v>
      </c>
      <c r="K184" s="69">
        <f t="shared" ca="1" si="25"/>
        <v>-76</v>
      </c>
      <c r="L184" s="42">
        <f t="shared" ca="1" si="26"/>
        <v>1941</v>
      </c>
      <c r="M184" s="62">
        <f t="shared" si="27"/>
        <v>1</v>
      </c>
      <c r="N184" s="40">
        <f ca="1">AVERAGE(M184:OFFSET(M184,-(O$5-1),0))</f>
        <v>0.6</v>
      </c>
      <c r="O184" s="63">
        <f t="shared" ca="1" si="28"/>
        <v>-1</v>
      </c>
      <c r="P184" s="65">
        <f ca="1">AVERAGE(E184:OFFSET(E184,-(Q$5-1),0))</f>
        <v>4273.5</v>
      </c>
      <c r="Q184" s="41">
        <f ca="1">AVERAGE(E184:OFFSET(E184,-(Q$6-1),0))</f>
        <v>4418.2</v>
      </c>
      <c r="R184" s="63">
        <f t="shared" ca="1" si="29"/>
        <v>0</v>
      </c>
    </row>
    <row r="185" spans="1:18">
      <c r="A185" s="46">
        <v>20090205</v>
      </c>
      <c r="B185" s="47">
        <v>4315</v>
      </c>
      <c r="C185" s="47">
        <v>4389</v>
      </c>
      <c r="D185" s="47">
        <v>4269</v>
      </c>
      <c r="E185" s="47">
        <v>4270</v>
      </c>
      <c r="F185" s="48">
        <v>82296</v>
      </c>
      <c r="G185" s="57">
        <f t="shared" si="21"/>
        <v>-36</v>
      </c>
      <c r="H185" s="57">
        <f t="shared" si="22"/>
        <v>-45</v>
      </c>
      <c r="I185" s="67">
        <f t="shared" ca="1" si="23"/>
        <v>-1</v>
      </c>
      <c r="J185" s="68">
        <f t="shared" ca="1" si="24"/>
        <v>-1</v>
      </c>
      <c r="K185" s="69">
        <f t="shared" ca="1" si="25"/>
        <v>81</v>
      </c>
      <c r="L185" s="42">
        <f t="shared" ca="1" si="26"/>
        <v>2022</v>
      </c>
      <c r="M185" s="62">
        <f t="shared" si="27"/>
        <v>0</v>
      </c>
      <c r="N185" s="40">
        <f ca="1">AVERAGE(M185:OFFSET(M185,-(O$5-1),0))</f>
        <v>0.6</v>
      </c>
      <c r="O185" s="63">
        <f t="shared" ca="1" si="28"/>
        <v>-1</v>
      </c>
      <c r="P185" s="65">
        <f ca="1">AVERAGE(E185:OFFSET(E185,-(Q$5-1),0))</f>
        <v>4266.875</v>
      </c>
      <c r="Q185" s="41">
        <f ca="1">AVERAGE(E185:OFFSET(E185,-(Q$6-1),0))</f>
        <v>4403.45</v>
      </c>
      <c r="R185" s="63">
        <f t="shared" ca="1" si="29"/>
        <v>0</v>
      </c>
    </row>
    <row r="186" spans="1:18">
      <c r="A186" s="46">
        <v>20090206</v>
      </c>
      <c r="B186" s="47">
        <v>4362</v>
      </c>
      <c r="C186" s="47">
        <v>4479</v>
      </c>
      <c r="D186" s="47">
        <v>4356</v>
      </c>
      <c r="E186" s="47">
        <v>4443</v>
      </c>
      <c r="F186" s="48">
        <v>94505</v>
      </c>
      <c r="G186" s="57">
        <f t="shared" si="21"/>
        <v>92</v>
      </c>
      <c r="H186" s="57">
        <f t="shared" si="22"/>
        <v>81</v>
      </c>
      <c r="I186" s="67">
        <f t="shared" ca="1" si="23"/>
        <v>-1</v>
      </c>
      <c r="J186" s="68">
        <f t="shared" ca="1" si="24"/>
        <v>-1</v>
      </c>
      <c r="K186" s="69">
        <f t="shared" ca="1" si="25"/>
        <v>-173</v>
      </c>
      <c r="L186" s="42">
        <f t="shared" ca="1" si="26"/>
        <v>1849</v>
      </c>
      <c r="M186" s="62">
        <f t="shared" si="27"/>
        <v>1</v>
      </c>
      <c r="N186" s="40">
        <f ca="1">AVERAGE(M186:OFFSET(M186,-(O$5-1),0))</f>
        <v>0.7</v>
      </c>
      <c r="O186" s="63">
        <f t="shared" ca="1" si="28"/>
        <v>-1</v>
      </c>
      <c r="P186" s="65">
        <f ca="1">AVERAGE(E186:OFFSET(E186,-(Q$5-1),0))</f>
        <v>4278.625</v>
      </c>
      <c r="Q186" s="41">
        <f ca="1">AVERAGE(E186:OFFSET(E186,-(Q$6-1),0))</f>
        <v>4398.6000000000004</v>
      </c>
      <c r="R186" s="63">
        <f t="shared" ca="1" si="29"/>
        <v>0</v>
      </c>
    </row>
    <row r="187" spans="1:18">
      <c r="A187" s="46">
        <v>20090209</v>
      </c>
      <c r="B187" s="47">
        <v>4500</v>
      </c>
      <c r="C187" s="47">
        <v>4522</v>
      </c>
      <c r="D187" s="47">
        <v>4425</v>
      </c>
      <c r="E187" s="47">
        <v>4456</v>
      </c>
      <c r="F187" s="48">
        <v>71142</v>
      </c>
      <c r="G187" s="57">
        <f t="shared" si="21"/>
        <v>57</v>
      </c>
      <c r="H187" s="57">
        <f t="shared" si="22"/>
        <v>-44</v>
      </c>
      <c r="I187" s="67">
        <f t="shared" ca="1" si="23"/>
        <v>-1</v>
      </c>
      <c r="J187" s="68">
        <f t="shared" ca="1" si="24"/>
        <v>-1</v>
      </c>
      <c r="K187" s="69">
        <f t="shared" ca="1" si="25"/>
        <v>-13</v>
      </c>
      <c r="L187" s="42">
        <f t="shared" ca="1" si="26"/>
        <v>1836</v>
      </c>
      <c r="M187" s="62">
        <f t="shared" si="27"/>
        <v>1</v>
      </c>
      <c r="N187" s="40">
        <f ca="1">AVERAGE(M187:OFFSET(M187,-(O$5-1),0))</f>
        <v>0.7</v>
      </c>
      <c r="O187" s="63">
        <f t="shared" ca="1" si="28"/>
        <v>-1</v>
      </c>
      <c r="P187" s="65">
        <f ca="1">AVERAGE(E187:OFFSET(E187,-(Q$5-1),0))</f>
        <v>4291</v>
      </c>
      <c r="Q187" s="41">
        <f ca="1">AVERAGE(E187:OFFSET(E187,-(Q$6-1),0))</f>
        <v>4387.8999999999996</v>
      </c>
      <c r="R187" s="63">
        <f t="shared" ca="1" si="29"/>
        <v>0</v>
      </c>
    </row>
    <row r="188" spans="1:18">
      <c r="A188" s="46">
        <v>20090210</v>
      </c>
      <c r="B188" s="47">
        <v>4456</v>
      </c>
      <c r="C188" s="47">
        <v>4499</v>
      </c>
      <c r="D188" s="47">
        <v>4435</v>
      </c>
      <c r="E188" s="47">
        <v>4497</v>
      </c>
      <c r="F188" s="48">
        <v>60156</v>
      </c>
      <c r="G188" s="57">
        <f t="shared" si="21"/>
        <v>0</v>
      </c>
      <c r="H188" s="57">
        <f t="shared" si="22"/>
        <v>41</v>
      </c>
      <c r="I188" s="67">
        <f t="shared" ca="1" si="23"/>
        <v>-1</v>
      </c>
      <c r="J188" s="68">
        <f t="shared" ca="1" si="24"/>
        <v>-1</v>
      </c>
      <c r="K188" s="69">
        <f t="shared" ca="1" si="25"/>
        <v>-41</v>
      </c>
      <c r="L188" s="42">
        <f t="shared" ca="1" si="26"/>
        <v>1795</v>
      </c>
      <c r="M188" s="62">
        <f t="shared" si="27"/>
        <v>1</v>
      </c>
      <c r="N188" s="40">
        <f ca="1">AVERAGE(M188:OFFSET(M188,-(O$5-1),0))</f>
        <v>0.7</v>
      </c>
      <c r="O188" s="63">
        <f t="shared" ca="1" si="28"/>
        <v>-1</v>
      </c>
      <c r="P188" s="65">
        <f ca="1">AVERAGE(E188:OFFSET(E188,-(Q$5-1),0))</f>
        <v>4323.125</v>
      </c>
      <c r="Q188" s="41">
        <f ca="1">AVERAGE(E188:OFFSET(E188,-(Q$6-1),0))</f>
        <v>4377.45</v>
      </c>
      <c r="R188" s="63">
        <f t="shared" ca="1" si="29"/>
        <v>0</v>
      </c>
    </row>
    <row r="189" spans="1:18">
      <c r="A189" s="46">
        <v>20090211</v>
      </c>
      <c r="B189" s="47">
        <v>4385</v>
      </c>
      <c r="C189" s="47">
        <v>4578</v>
      </c>
      <c r="D189" s="47">
        <v>4372</v>
      </c>
      <c r="E189" s="47">
        <v>4558</v>
      </c>
      <c r="F189" s="48">
        <v>90722</v>
      </c>
      <c r="G189" s="57">
        <f t="shared" si="21"/>
        <v>-112</v>
      </c>
      <c r="H189" s="57">
        <f t="shared" si="22"/>
        <v>173</v>
      </c>
      <c r="I189" s="67">
        <f t="shared" ca="1" si="23"/>
        <v>1</v>
      </c>
      <c r="J189" s="68">
        <f t="shared" ca="1" si="24"/>
        <v>-1</v>
      </c>
      <c r="K189" s="69">
        <f t="shared" ca="1" si="25"/>
        <v>-61</v>
      </c>
      <c r="L189" s="42">
        <f t="shared" ca="1" si="26"/>
        <v>1734</v>
      </c>
      <c r="M189" s="62">
        <f t="shared" si="27"/>
        <v>1</v>
      </c>
      <c r="N189" s="40">
        <f ca="1">AVERAGE(M189:OFFSET(M189,-(O$5-1),0))</f>
        <v>0.7</v>
      </c>
      <c r="O189" s="63">
        <f t="shared" ca="1" si="28"/>
        <v>-1</v>
      </c>
      <c r="P189" s="65">
        <f ca="1">AVERAGE(E189:OFFSET(E189,-(Q$5-1),0))</f>
        <v>4376.375</v>
      </c>
      <c r="Q189" s="41">
        <f ca="1">AVERAGE(E189:OFFSET(E189,-(Q$6-1),0))</f>
        <v>4367.75</v>
      </c>
      <c r="R189" s="63">
        <f t="shared" ca="1" si="29"/>
        <v>1</v>
      </c>
    </row>
    <row r="190" spans="1:18">
      <c r="A190" s="46">
        <v>20090212</v>
      </c>
      <c r="B190" s="47">
        <v>4520</v>
      </c>
      <c r="C190" s="47">
        <v>4564</v>
      </c>
      <c r="D190" s="47">
        <v>4398</v>
      </c>
      <c r="E190" s="47">
        <v>4445</v>
      </c>
      <c r="F190" s="48">
        <v>112010</v>
      </c>
      <c r="G190" s="57">
        <f t="shared" si="21"/>
        <v>-38</v>
      </c>
      <c r="H190" s="57">
        <f t="shared" si="22"/>
        <v>-75</v>
      </c>
      <c r="I190" s="67">
        <f t="shared" ca="1" si="23"/>
        <v>-1</v>
      </c>
      <c r="J190" s="68">
        <f t="shared" ca="1" si="24"/>
        <v>0</v>
      </c>
      <c r="K190" s="69">
        <f t="shared" ca="1" si="25"/>
        <v>38</v>
      </c>
      <c r="L190" s="42">
        <f t="shared" ca="1" si="26"/>
        <v>1772</v>
      </c>
      <c r="M190" s="62">
        <f t="shared" si="27"/>
        <v>0</v>
      </c>
      <c r="N190" s="40">
        <f ca="1">AVERAGE(M190:OFFSET(M190,-(O$5-1),0))</f>
        <v>0.7</v>
      </c>
      <c r="O190" s="63">
        <f t="shared" ca="1" si="28"/>
        <v>-1</v>
      </c>
      <c r="P190" s="65">
        <f ca="1">AVERAGE(E190:OFFSET(E190,-(Q$5-1),0))</f>
        <v>4411.875</v>
      </c>
      <c r="Q190" s="41">
        <f ca="1">AVERAGE(E190:OFFSET(E190,-(Q$6-1),0))</f>
        <v>4367.3999999999996</v>
      </c>
      <c r="R190" s="63">
        <f t="shared" ca="1" si="29"/>
        <v>0</v>
      </c>
    </row>
    <row r="191" spans="1:18">
      <c r="A191" s="46">
        <v>20090213</v>
      </c>
      <c r="B191" s="47">
        <v>4459</v>
      </c>
      <c r="C191" s="47">
        <v>4590</v>
      </c>
      <c r="D191" s="47">
        <v>4451</v>
      </c>
      <c r="E191" s="47">
        <v>4571</v>
      </c>
      <c r="F191" s="48">
        <v>104666</v>
      </c>
      <c r="G191" s="57">
        <f t="shared" si="21"/>
        <v>14</v>
      </c>
      <c r="H191" s="57">
        <f t="shared" si="22"/>
        <v>112</v>
      </c>
      <c r="I191" s="67">
        <f t="shared" ca="1" si="23"/>
        <v>-1</v>
      </c>
      <c r="J191" s="68">
        <f t="shared" ca="1" si="24"/>
        <v>-1</v>
      </c>
      <c r="K191" s="69">
        <f t="shared" ca="1" si="25"/>
        <v>-112</v>
      </c>
      <c r="L191" s="42">
        <f t="shared" ca="1" si="26"/>
        <v>1660</v>
      </c>
      <c r="M191" s="62">
        <f t="shared" si="27"/>
        <v>1</v>
      </c>
      <c r="N191" s="40">
        <f ca="1">AVERAGE(M191:OFFSET(M191,-(O$5-1),0))</f>
        <v>0.8</v>
      </c>
      <c r="O191" s="63">
        <f t="shared" ca="1" si="28"/>
        <v>-1</v>
      </c>
      <c r="P191" s="65">
        <f ca="1">AVERAGE(E191:OFFSET(E191,-(Q$5-1),0))</f>
        <v>4448.875</v>
      </c>
      <c r="Q191" s="41">
        <f ca="1">AVERAGE(E191:OFFSET(E191,-(Q$6-1),0))</f>
        <v>4374.8999999999996</v>
      </c>
      <c r="R191" s="63">
        <f t="shared" ca="1" si="29"/>
        <v>0</v>
      </c>
    </row>
    <row r="192" spans="1:18">
      <c r="A192" s="46">
        <v>20090216</v>
      </c>
      <c r="B192" s="47">
        <v>4569</v>
      </c>
      <c r="C192" s="47">
        <v>4588</v>
      </c>
      <c r="D192" s="47">
        <v>4534</v>
      </c>
      <c r="E192" s="47">
        <v>4575</v>
      </c>
      <c r="F192" s="48">
        <v>64270</v>
      </c>
      <c r="G192" s="57">
        <f t="shared" si="21"/>
        <v>-2</v>
      </c>
      <c r="H192" s="57">
        <f t="shared" si="22"/>
        <v>6</v>
      </c>
      <c r="I192" s="67">
        <f t="shared" ca="1" si="23"/>
        <v>-1</v>
      </c>
      <c r="J192" s="68">
        <f t="shared" ca="1" si="24"/>
        <v>-1</v>
      </c>
      <c r="K192" s="69">
        <f t="shared" ca="1" si="25"/>
        <v>-4</v>
      </c>
      <c r="L192" s="42">
        <f t="shared" ca="1" si="26"/>
        <v>1656</v>
      </c>
      <c r="M192" s="62">
        <f t="shared" si="27"/>
        <v>1</v>
      </c>
      <c r="N192" s="40">
        <f ca="1">AVERAGE(M192:OFFSET(M192,-(O$5-1),0))</f>
        <v>0.8</v>
      </c>
      <c r="O192" s="63">
        <f t="shared" ca="1" si="28"/>
        <v>-1</v>
      </c>
      <c r="P192" s="65">
        <f ca="1">AVERAGE(E192:OFFSET(E192,-(Q$5-1),0))</f>
        <v>4476.875</v>
      </c>
      <c r="Q192" s="41">
        <f ca="1">AVERAGE(E192:OFFSET(E192,-(Q$6-1),0))</f>
        <v>4384.95</v>
      </c>
      <c r="R192" s="63">
        <f t="shared" ca="1" si="29"/>
        <v>0</v>
      </c>
    </row>
    <row r="193" spans="1:18">
      <c r="A193" s="46">
        <v>20090217</v>
      </c>
      <c r="B193" s="47">
        <v>4521</v>
      </c>
      <c r="C193" s="47">
        <v>4559</v>
      </c>
      <c r="D193" s="47">
        <v>4437</v>
      </c>
      <c r="E193" s="47">
        <v>4494</v>
      </c>
      <c r="F193" s="48">
        <v>80444</v>
      </c>
      <c r="G193" s="57">
        <f t="shared" si="21"/>
        <v>-54</v>
      </c>
      <c r="H193" s="57">
        <f t="shared" si="22"/>
        <v>-27</v>
      </c>
      <c r="I193" s="67">
        <f t="shared" ca="1" si="23"/>
        <v>-1</v>
      </c>
      <c r="J193" s="68">
        <f t="shared" ca="1" si="24"/>
        <v>-1</v>
      </c>
      <c r="K193" s="69">
        <f t="shared" ca="1" si="25"/>
        <v>81</v>
      </c>
      <c r="L193" s="42">
        <f t="shared" ca="1" si="26"/>
        <v>1737</v>
      </c>
      <c r="M193" s="62">
        <f t="shared" si="27"/>
        <v>0</v>
      </c>
      <c r="N193" s="40">
        <f ca="1">AVERAGE(M193:OFFSET(M193,-(O$5-1),0))</f>
        <v>0.7</v>
      </c>
      <c r="O193" s="63">
        <f t="shared" ca="1" si="28"/>
        <v>-1</v>
      </c>
      <c r="P193" s="65">
        <f ca="1">AVERAGE(E193:OFFSET(E193,-(Q$5-1),0))</f>
        <v>4504.875</v>
      </c>
      <c r="Q193" s="41">
        <f ca="1">AVERAGE(E193:OFFSET(E193,-(Q$6-1),0))</f>
        <v>4388.2</v>
      </c>
      <c r="R193" s="63">
        <f t="shared" ca="1" si="29"/>
        <v>0</v>
      </c>
    </row>
    <row r="194" spans="1:18">
      <c r="A194" s="46">
        <v>20090218</v>
      </c>
      <c r="B194" s="47">
        <v>4382</v>
      </c>
      <c r="C194" s="47">
        <v>4436</v>
      </c>
      <c r="D194" s="47">
        <v>4353</v>
      </c>
      <c r="E194" s="47">
        <v>4426</v>
      </c>
      <c r="F194" s="48">
        <v>58677</v>
      </c>
      <c r="G194" s="57">
        <f t="shared" si="21"/>
        <v>-112</v>
      </c>
      <c r="H194" s="57">
        <f t="shared" si="22"/>
        <v>44</v>
      </c>
      <c r="I194" s="67">
        <f t="shared" ca="1" si="23"/>
        <v>-1</v>
      </c>
      <c r="J194" s="68">
        <f t="shared" ca="1" si="24"/>
        <v>-1</v>
      </c>
      <c r="K194" s="69">
        <f t="shared" ca="1" si="25"/>
        <v>68</v>
      </c>
      <c r="L194" s="42">
        <f t="shared" ca="1" si="26"/>
        <v>1805</v>
      </c>
      <c r="M194" s="62">
        <f t="shared" si="27"/>
        <v>0</v>
      </c>
      <c r="N194" s="40">
        <f ca="1">AVERAGE(M194:OFFSET(M194,-(O$5-1),0))</f>
        <v>0.6</v>
      </c>
      <c r="O194" s="63">
        <f t="shared" ca="1" si="28"/>
        <v>-1</v>
      </c>
      <c r="P194" s="65">
        <f ca="1">AVERAGE(E194:OFFSET(E194,-(Q$5-1),0))</f>
        <v>4502.75</v>
      </c>
      <c r="Q194" s="41">
        <f ca="1">AVERAGE(E194:OFFSET(E194,-(Q$6-1),0))</f>
        <v>4383.6000000000004</v>
      </c>
      <c r="R194" s="63">
        <f t="shared" ca="1" si="29"/>
        <v>0</v>
      </c>
    </row>
    <row r="195" spans="1:18">
      <c r="A195" s="46">
        <v>20090219</v>
      </c>
      <c r="B195" s="47">
        <v>4411</v>
      </c>
      <c r="C195" s="47">
        <v>4524</v>
      </c>
      <c r="D195" s="47">
        <v>4334</v>
      </c>
      <c r="E195" s="47">
        <v>4468</v>
      </c>
      <c r="F195" s="48">
        <v>118683</v>
      </c>
      <c r="G195" s="57">
        <f t="shared" si="21"/>
        <v>-15</v>
      </c>
      <c r="H195" s="57">
        <f t="shared" si="22"/>
        <v>57</v>
      </c>
      <c r="I195" s="67">
        <f t="shared" ca="1" si="23"/>
        <v>-1</v>
      </c>
      <c r="J195" s="68">
        <f t="shared" ca="1" si="24"/>
        <v>-1</v>
      </c>
      <c r="K195" s="69">
        <f t="shared" ca="1" si="25"/>
        <v>-42</v>
      </c>
      <c r="L195" s="42">
        <f t="shared" ca="1" si="26"/>
        <v>1763</v>
      </c>
      <c r="M195" s="62">
        <f t="shared" si="27"/>
        <v>1</v>
      </c>
      <c r="N195" s="40">
        <f ca="1">AVERAGE(M195:OFFSET(M195,-(O$5-1),0))</f>
        <v>0.7</v>
      </c>
      <c r="O195" s="63">
        <f t="shared" ca="1" si="28"/>
        <v>-1</v>
      </c>
      <c r="P195" s="65">
        <f ca="1">AVERAGE(E195:OFFSET(E195,-(Q$5-1),0))</f>
        <v>4504.25</v>
      </c>
      <c r="Q195" s="41">
        <f ca="1">AVERAGE(E195:OFFSET(E195,-(Q$6-1),0))</f>
        <v>4381.5</v>
      </c>
      <c r="R195" s="63">
        <f t="shared" ca="1" si="29"/>
        <v>0</v>
      </c>
    </row>
    <row r="196" spans="1:18">
      <c r="A196" s="46">
        <v>20090220</v>
      </c>
      <c r="B196" s="47">
        <v>4405</v>
      </c>
      <c r="C196" s="47">
        <v>4453</v>
      </c>
      <c r="D196" s="47">
        <v>4345</v>
      </c>
      <c r="E196" s="47">
        <v>4363</v>
      </c>
      <c r="F196" s="48">
        <v>105134</v>
      </c>
      <c r="G196" s="57">
        <f t="shared" si="21"/>
        <v>-63</v>
      </c>
      <c r="H196" s="57">
        <f t="shared" si="22"/>
        <v>-42</v>
      </c>
      <c r="I196" s="67">
        <f t="shared" ca="1" si="23"/>
        <v>-1</v>
      </c>
      <c r="J196" s="68">
        <f t="shared" ca="1" si="24"/>
        <v>-1</v>
      </c>
      <c r="K196" s="69">
        <f t="shared" ca="1" si="25"/>
        <v>105</v>
      </c>
      <c r="L196" s="42">
        <f t="shared" ca="1" si="26"/>
        <v>1868</v>
      </c>
      <c r="M196" s="62">
        <f t="shared" si="27"/>
        <v>0</v>
      </c>
      <c r="N196" s="40">
        <f ca="1">AVERAGE(M196:OFFSET(M196,-(O$5-1),0))</f>
        <v>0.6</v>
      </c>
      <c r="O196" s="63">
        <f t="shared" ca="1" si="28"/>
        <v>-1</v>
      </c>
      <c r="P196" s="65">
        <f ca="1">AVERAGE(E196:OFFSET(E196,-(Q$5-1),0))</f>
        <v>4487.5</v>
      </c>
      <c r="Q196" s="41">
        <f ca="1">AVERAGE(E196:OFFSET(E196,-(Q$6-1),0))</f>
        <v>4387.7</v>
      </c>
      <c r="R196" s="63">
        <f t="shared" ca="1" si="29"/>
        <v>0</v>
      </c>
    </row>
    <row r="197" spans="1:18">
      <c r="A197" s="46">
        <v>20090223</v>
      </c>
      <c r="B197" s="47">
        <v>4332</v>
      </c>
      <c r="C197" s="47">
        <v>4433</v>
      </c>
      <c r="D197" s="47">
        <v>4296</v>
      </c>
      <c r="E197" s="47">
        <v>4426</v>
      </c>
      <c r="F197" s="48">
        <v>102515</v>
      </c>
      <c r="G197" s="57">
        <f t="shared" si="21"/>
        <v>-31</v>
      </c>
      <c r="H197" s="57">
        <f t="shared" si="22"/>
        <v>94</v>
      </c>
      <c r="I197" s="67">
        <f t="shared" ca="1" si="23"/>
        <v>-1</v>
      </c>
      <c r="J197" s="68">
        <f t="shared" ca="1" si="24"/>
        <v>-1</v>
      </c>
      <c r="K197" s="69">
        <f t="shared" ca="1" si="25"/>
        <v>-63</v>
      </c>
      <c r="L197" s="42">
        <f t="shared" ca="1" si="26"/>
        <v>1805</v>
      </c>
      <c r="M197" s="62">
        <f t="shared" si="27"/>
        <v>1</v>
      </c>
      <c r="N197" s="40">
        <f ca="1">AVERAGE(M197:OFFSET(M197,-(O$5-1),0))</f>
        <v>0.6</v>
      </c>
      <c r="O197" s="63">
        <f t="shared" ca="1" si="28"/>
        <v>-1</v>
      </c>
      <c r="P197" s="65">
        <f ca="1">AVERAGE(E197:OFFSET(E197,-(Q$5-1),0))</f>
        <v>4471</v>
      </c>
      <c r="Q197" s="41">
        <f ca="1">AVERAGE(E197:OFFSET(E197,-(Q$6-1),0))</f>
        <v>4392.8500000000004</v>
      </c>
      <c r="R197" s="63">
        <f t="shared" ca="1" si="29"/>
        <v>0</v>
      </c>
    </row>
    <row r="198" spans="1:18">
      <c r="A198" s="46">
        <v>20090224</v>
      </c>
      <c r="B198" s="47">
        <v>4327</v>
      </c>
      <c r="C198" s="47">
        <v>4395</v>
      </c>
      <c r="D198" s="47">
        <v>4313</v>
      </c>
      <c r="E198" s="47">
        <v>4381</v>
      </c>
      <c r="F198" s="48">
        <v>83683</v>
      </c>
      <c r="G198" s="57">
        <f t="shared" si="21"/>
        <v>-99</v>
      </c>
      <c r="H198" s="57">
        <f t="shared" si="22"/>
        <v>54</v>
      </c>
      <c r="I198" s="67">
        <f t="shared" ca="1" si="23"/>
        <v>0</v>
      </c>
      <c r="J198" s="68">
        <f t="shared" ca="1" si="24"/>
        <v>-1</v>
      </c>
      <c r="K198" s="69">
        <f t="shared" ca="1" si="25"/>
        <v>45</v>
      </c>
      <c r="L198" s="42">
        <f t="shared" ca="1" si="26"/>
        <v>1850</v>
      </c>
      <c r="M198" s="62">
        <f t="shared" si="27"/>
        <v>0</v>
      </c>
      <c r="N198" s="40">
        <f ca="1">AVERAGE(M198:OFFSET(M198,-(O$5-1),0))</f>
        <v>0.5</v>
      </c>
      <c r="O198" s="63">
        <f t="shared" ca="1" si="28"/>
        <v>0</v>
      </c>
      <c r="P198" s="65">
        <f ca="1">AVERAGE(E198:OFFSET(E198,-(Q$5-1),0))</f>
        <v>4463</v>
      </c>
      <c r="Q198" s="41">
        <f ca="1">AVERAGE(E198:OFFSET(E198,-(Q$6-1),0))</f>
        <v>4394.45</v>
      </c>
      <c r="R198" s="63">
        <f t="shared" ca="1" si="29"/>
        <v>0</v>
      </c>
    </row>
    <row r="199" spans="1:18">
      <c r="A199" s="46">
        <v>20090225</v>
      </c>
      <c r="B199" s="47">
        <v>4435</v>
      </c>
      <c r="C199" s="47">
        <v>4520</v>
      </c>
      <c r="D199" s="47">
        <v>4408</v>
      </c>
      <c r="E199" s="47">
        <v>4466</v>
      </c>
      <c r="F199" s="48">
        <v>104986</v>
      </c>
      <c r="G199" s="57">
        <f t="shared" si="21"/>
        <v>54</v>
      </c>
      <c r="H199" s="57">
        <f t="shared" si="22"/>
        <v>31</v>
      </c>
      <c r="I199" s="67">
        <f t="shared" ca="1" si="23"/>
        <v>0</v>
      </c>
      <c r="J199" s="68">
        <f t="shared" ca="1" si="24"/>
        <v>-1</v>
      </c>
      <c r="K199" s="69">
        <f t="shared" ca="1" si="25"/>
        <v>-85</v>
      </c>
      <c r="L199" s="42">
        <f t="shared" ca="1" si="26"/>
        <v>1765</v>
      </c>
      <c r="M199" s="62">
        <f t="shared" si="27"/>
        <v>1</v>
      </c>
      <c r="N199" s="40">
        <f ca="1">AVERAGE(M199:OFFSET(M199,-(O$5-1),0))</f>
        <v>0.5</v>
      </c>
      <c r="O199" s="63">
        <f t="shared" ca="1" si="28"/>
        <v>0</v>
      </c>
      <c r="P199" s="65">
        <f ca="1">AVERAGE(E199:OFFSET(E199,-(Q$5-1),0))</f>
        <v>4449.875</v>
      </c>
      <c r="Q199" s="41">
        <f ca="1">AVERAGE(E199:OFFSET(E199,-(Q$6-1),0))</f>
        <v>4399.8999999999996</v>
      </c>
      <c r="R199" s="63">
        <f t="shared" ca="1" si="29"/>
        <v>0</v>
      </c>
    </row>
    <row r="200" spans="1:18">
      <c r="A200" s="46">
        <v>20090226</v>
      </c>
      <c r="B200" s="47">
        <v>4520</v>
      </c>
      <c r="C200" s="47">
        <v>4538</v>
      </c>
      <c r="D200" s="47">
        <v>4440</v>
      </c>
      <c r="E200" s="47">
        <v>4477</v>
      </c>
      <c r="F200" s="48">
        <v>89413</v>
      </c>
      <c r="G200" s="57">
        <f t="shared" si="21"/>
        <v>54</v>
      </c>
      <c r="H200" s="57">
        <f t="shared" si="22"/>
        <v>-43</v>
      </c>
      <c r="I200" s="67">
        <f t="shared" ca="1" si="23"/>
        <v>-1</v>
      </c>
      <c r="J200" s="68">
        <f t="shared" ca="1" si="24"/>
        <v>-1</v>
      </c>
      <c r="K200" s="69">
        <f t="shared" ca="1" si="25"/>
        <v>-11</v>
      </c>
      <c r="L200" s="42">
        <f t="shared" ca="1" si="26"/>
        <v>1754</v>
      </c>
      <c r="M200" s="62">
        <f t="shared" si="27"/>
        <v>1</v>
      </c>
      <c r="N200" s="40">
        <f ca="1">AVERAGE(M200:OFFSET(M200,-(O$5-1),0))</f>
        <v>0.6</v>
      </c>
      <c r="O200" s="63">
        <f t="shared" ca="1" si="28"/>
        <v>-1</v>
      </c>
      <c r="P200" s="65">
        <f ca="1">AVERAGE(E200:OFFSET(E200,-(Q$5-1),0))</f>
        <v>4437.625</v>
      </c>
      <c r="Q200" s="41">
        <f ca="1">AVERAGE(E200:OFFSET(E200,-(Q$6-1),0))</f>
        <v>4411.75</v>
      </c>
      <c r="R200" s="63">
        <f t="shared" ca="1" si="29"/>
        <v>0</v>
      </c>
    </row>
    <row r="201" spans="1:18">
      <c r="A201" s="46">
        <v>20090227</v>
      </c>
      <c r="B201" s="47">
        <v>4472</v>
      </c>
      <c r="C201" s="47">
        <v>4528</v>
      </c>
      <c r="D201" s="47">
        <v>4452</v>
      </c>
      <c r="E201" s="47">
        <v>4510</v>
      </c>
      <c r="F201" s="48">
        <v>73628</v>
      </c>
      <c r="G201" s="57">
        <f t="shared" si="21"/>
        <v>-5</v>
      </c>
      <c r="H201" s="57">
        <f t="shared" si="22"/>
        <v>38</v>
      </c>
      <c r="I201" s="67">
        <f t="shared" ca="1" si="23"/>
        <v>-1</v>
      </c>
      <c r="J201" s="68">
        <f t="shared" ca="1" si="24"/>
        <v>-1</v>
      </c>
      <c r="K201" s="69">
        <f t="shared" ca="1" si="25"/>
        <v>-33</v>
      </c>
      <c r="L201" s="42">
        <f t="shared" ca="1" si="26"/>
        <v>1721</v>
      </c>
      <c r="M201" s="62">
        <f t="shared" si="27"/>
        <v>1</v>
      </c>
      <c r="N201" s="40">
        <f ca="1">AVERAGE(M201:OFFSET(M201,-(O$5-1),0))</f>
        <v>0.6</v>
      </c>
      <c r="O201" s="63">
        <f t="shared" ca="1" si="28"/>
        <v>-1</v>
      </c>
      <c r="P201" s="65">
        <f ca="1">AVERAGE(E201:OFFSET(E201,-(Q$5-1),0))</f>
        <v>4439.625</v>
      </c>
      <c r="Q201" s="41">
        <f ca="1">AVERAGE(E201:OFFSET(E201,-(Q$6-1),0))</f>
        <v>4430.6499999999996</v>
      </c>
      <c r="R201" s="63">
        <f t="shared" ca="1" si="29"/>
        <v>0</v>
      </c>
    </row>
    <row r="202" spans="1:18">
      <c r="A202" s="46">
        <v>20090302</v>
      </c>
      <c r="B202" s="47">
        <v>4422</v>
      </c>
      <c r="C202" s="47">
        <v>4459</v>
      </c>
      <c r="D202" s="47">
        <v>4303</v>
      </c>
      <c r="E202" s="47">
        <v>4331</v>
      </c>
      <c r="F202" s="48">
        <v>101175</v>
      </c>
      <c r="G202" s="57">
        <f t="shared" si="21"/>
        <v>-88</v>
      </c>
      <c r="H202" s="57">
        <f t="shared" si="22"/>
        <v>-91</v>
      </c>
      <c r="I202" s="67">
        <f t="shared" ca="1" si="23"/>
        <v>-1</v>
      </c>
      <c r="J202" s="68">
        <f t="shared" ca="1" si="24"/>
        <v>-1</v>
      </c>
      <c r="K202" s="69">
        <f t="shared" ca="1" si="25"/>
        <v>179</v>
      </c>
      <c r="L202" s="42">
        <f t="shared" ca="1" si="26"/>
        <v>1900</v>
      </c>
      <c r="M202" s="62">
        <f t="shared" si="27"/>
        <v>0</v>
      </c>
      <c r="N202" s="40">
        <f ca="1">AVERAGE(M202:OFFSET(M202,-(O$5-1),0))</f>
        <v>0.5</v>
      </c>
      <c r="O202" s="63">
        <f t="shared" ca="1" si="28"/>
        <v>0</v>
      </c>
      <c r="P202" s="65">
        <f ca="1">AVERAGE(E202:OFFSET(E202,-(Q$5-1),0))</f>
        <v>4427.75</v>
      </c>
      <c r="Q202" s="41">
        <f ca="1">AVERAGE(E202:OFFSET(E202,-(Q$6-1),0))</f>
        <v>4439.1499999999996</v>
      </c>
      <c r="R202" s="63">
        <f t="shared" ca="1" si="29"/>
        <v>-1</v>
      </c>
    </row>
    <row r="203" spans="1:18">
      <c r="A203" s="46">
        <v>20090303</v>
      </c>
      <c r="B203" s="47">
        <v>4270</v>
      </c>
      <c r="C203" s="47">
        <v>4377</v>
      </c>
      <c r="D203" s="47">
        <v>4238</v>
      </c>
      <c r="E203" s="47">
        <v>4367</v>
      </c>
      <c r="F203" s="48">
        <v>103908</v>
      </c>
      <c r="G203" s="57">
        <f t="shared" si="21"/>
        <v>-61</v>
      </c>
      <c r="H203" s="57">
        <f t="shared" si="22"/>
        <v>97</v>
      </c>
      <c r="I203" s="67">
        <f t="shared" ca="1" si="23"/>
        <v>-1</v>
      </c>
      <c r="J203" s="68">
        <f t="shared" ca="1" si="24"/>
        <v>-1</v>
      </c>
      <c r="K203" s="69">
        <f t="shared" ca="1" si="25"/>
        <v>-36</v>
      </c>
      <c r="L203" s="42">
        <f t="shared" ca="1" si="26"/>
        <v>1864</v>
      </c>
      <c r="M203" s="62">
        <f t="shared" si="27"/>
        <v>1</v>
      </c>
      <c r="N203" s="40">
        <f ca="1">AVERAGE(M203:OFFSET(M203,-(O$5-1),0))</f>
        <v>0.6</v>
      </c>
      <c r="O203" s="63">
        <f t="shared" ca="1" si="28"/>
        <v>-1</v>
      </c>
      <c r="P203" s="65">
        <f ca="1">AVERAGE(E203:OFFSET(E203,-(Q$5-1),0))</f>
        <v>4415.125</v>
      </c>
      <c r="Q203" s="41">
        <f ca="1">AVERAGE(E203:OFFSET(E203,-(Q$6-1),0))</f>
        <v>4443.75</v>
      </c>
      <c r="R203" s="63">
        <f t="shared" ca="1" si="29"/>
        <v>0</v>
      </c>
    </row>
    <row r="204" spans="1:18">
      <c r="A204" s="46">
        <v>20090304</v>
      </c>
      <c r="B204" s="47">
        <v>4336</v>
      </c>
      <c r="C204" s="47">
        <v>4516</v>
      </c>
      <c r="D204" s="47">
        <v>4322</v>
      </c>
      <c r="E204" s="47">
        <v>4511</v>
      </c>
      <c r="F204" s="48">
        <v>109654</v>
      </c>
      <c r="G204" s="57">
        <f t="shared" si="21"/>
        <v>-31</v>
      </c>
      <c r="H204" s="57">
        <f t="shared" si="22"/>
        <v>175</v>
      </c>
      <c r="I204" s="67">
        <f t="shared" ca="1" si="23"/>
        <v>-1</v>
      </c>
      <c r="J204" s="68">
        <f t="shared" ca="1" si="24"/>
        <v>-1</v>
      </c>
      <c r="K204" s="69">
        <f t="shared" ca="1" si="25"/>
        <v>-144</v>
      </c>
      <c r="L204" s="42">
        <f t="shared" ca="1" si="26"/>
        <v>1720</v>
      </c>
      <c r="M204" s="62">
        <f t="shared" si="27"/>
        <v>1</v>
      </c>
      <c r="N204" s="40">
        <f ca="1">AVERAGE(M204:OFFSET(M204,-(O$5-1),0))</f>
        <v>0.7</v>
      </c>
      <c r="O204" s="63">
        <f t="shared" ca="1" si="28"/>
        <v>-1</v>
      </c>
      <c r="P204" s="65">
        <f ca="1">AVERAGE(E204:OFFSET(E204,-(Q$5-1),0))</f>
        <v>4433.625</v>
      </c>
      <c r="Q204" s="41">
        <f ca="1">AVERAGE(E204:OFFSET(E204,-(Q$6-1),0))</f>
        <v>4451.75</v>
      </c>
      <c r="R204" s="63">
        <f t="shared" ca="1" si="29"/>
        <v>0</v>
      </c>
    </row>
    <row r="205" spans="1:18">
      <c r="A205" s="46">
        <v>20090305</v>
      </c>
      <c r="B205" s="47">
        <v>4541</v>
      </c>
      <c r="C205" s="47">
        <v>4646</v>
      </c>
      <c r="D205" s="47">
        <v>4539</v>
      </c>
      <c r="E205" s="47">
        <v>4595</v>
      </c>
      <c r="F205" s="48">
        <v>120108</v>
      </c>
      <c r="G205" s="57">
        <f t="shared" si="21"/>
        <v>30</v>
      </c>
      <c r="H205" s="57">
        <f t="shared" si="22"/>
        <v>54</v>
      </c>
      <c r="I205" s="67">
        <f t="shared" ca="1" si="23"/>
        <v>-1</v>
      </c>
      <c r="J205" s="68">
        <f t="shared" ca="1" si="24"/>
        <v>-1</v>
      </c>
      <c r="K205" s="69">
        <f t="shared" ca="1" si="25"/>
        <v>-84</v>
      </c>
      <c r="L205" s="42">
        <f t="shared" ca="1" si="26"/>
        <v>1636</v>
      </c>
      <c r="M205" s="62">
        <f t="shared" si="27"/>
        <v>1</v>
      </c>
      <c r="N205" s="40">
        <f ca="1">AVERAGE(M205:OFFSET(M205,-(O$5-1),0))</f>
        <v>0.7</v>
      </c>
      <c r="O205" s="63">
        <f t="shared" ca="1" si="28"/>
        <v>-1</v>
      </c>
      <c r="P205" s="65">
        <f ca="1">AVERAGE(E205:OFFSET(E205,-(Q$5-1),0))</f>
        <v>4454.75</v>
      </c>
      <c r="Q205" s="41">
        <f ca="1">AVERAGE(E205:OFFSET(E205,-(Q$6-1),0))</f>
        <v>4468</v>
      </c>
      <c r="R205" s="63">
        <f t="shared" ca="1" si="29"/>
        <v>0</v>
      </c>
    </row>
    <row r="206" spans="1:18">
      <c r="A206" s="46">
        <v>20090306</v>
      </c>
      <c r="B206" s="47">
        <v>4550</v>
      </c>
      <c r="C206" s="47">
        <v>4638</v>
      </c>
      <c r="D206" s="47">
        <v>4540</v>
      </c>
      <c r="E206" s="47">
        <v>4628</v>
      </c>
      <c r="F206" s="48">
        <v>109029</v>
      </c>
      <c r="G206" s="57">
        <f t="shared" si="21"/>
        <v>-45</v>
      </c>
      <c r="H206" s="57">
        <f t="shared" si="22"/>
        <v>78</v>
      </c>
      <c r="I206" s="67">
        <f t="shared" ca="1" si="23"/>
        <v>1</v>
      </c>
      <c r="J206" s="68">
        <f t="shared" ca="1" si="24"/>
        <v>-1</v>
      </c>
      <c r="K206" s="69">
        <f t="shared" ca="1" si="25"/>
        <v>-33</v>
      </c>
      <c r="L206" s="42">
        <f t="shared" ca="1" si="26"/>
        <v>1603</v>
      </c>
      <c r="M206" s="62">
        <f t="shared" si="27"/>
        <v>1</v>
      </c>
      <c r="N206" s="40">
        <f ca="1">AVERAGE(M206:OFFSET(M206,-(O$5-1),0))</f>
        <v>0.8</v>
      </c>
      <c r="O206" s="63">
        <f t="shared" ca="1" si="28"/>
        <v>-1</v>
      </c>
      <c r="P206" s="65">
        <f ca="1">AVERAGE(E206:OFFSET(E206,-(Q$5-1),0))</f>
        <v>4485.625</v>
      </c>
      <c r="Q206" s="41">
        <f ca="1">AVERAGE(E206:OFFSET(E206,-(Q$6-1),0))</f>
        <v>4477.25</v>
      </c>
      <c r="R206" s="63">
        <f t="shared" ca="1" si="29"/>
        <v>1</v>
      </c>
    </row>
    <row r="207" spans="1:18">
      <c r="A207" s="46">
        <v>20090309</v>
      </c>
      <c r="B207" s="47">
        <v>4672</v>
      </c>
      <c r="C207" s="47">
        <v>4675</v>
      </c>
      <c r="D207" s="47">
        <v>4543</v>
      </c>
      <c r="E207" s="47">
        <v>4624</v>
      </c>
      <c r="F207" s="48">
        <v>93646</v>
      </c>
      <c r="G207" s="57">
        <f t="shared" si="21"/>
        <v>44</v>
      </c>
      <c r="H207" s="57">
        <f t="shared" si="22"/>
        <v>-48</v>
      </c>
      <c r="I207" s="67">
        <f t="shared" ca="1" si="23"/>
        <v>-1</v>
      </c>
      <c r="J207" s="68">
        <f t="shared" ca="1" si="24"/>
        <v>0</v>
      </c>
      <c r="K207" s="69">
        <f t="shared" ca="1" si="25"/>
        <v>-44</v>
      </c>
      <c r="L207" s="42">
        <f t="shared" ca="1" si="26"/>
        <v>1559</v>
      </c>
      <c r="M207" s="62">
        <f t="shared" si="27"/>
        <v>0</v>
      </c>
      <c r="N207" s="40">
        <f ca="1">AVERAGE(M207:OFFSET(M207,-(O$5-1),0))</f>
        <v>0.7</v>
      </c>
      <c r="O207" s="63">
        <f t="shared" ca="1" si="28"/>
        <v>-1</v>
      </c>
      <c r="P207" s="65">
        <f ca="1">AVERAGE(E207:OFFSET(E207,-(Q$5-1),0))</f>
        <v>4505.375</v>
      </c>
      <c r="Q207" s="41">
        <f ca="1">AVERAGE(E207:OFFSET(E207,-(Q$6-1),0))</f>
        <v>4485.6499999999996</v>
      </c>
      <c r="R207" s="63">
        <f t="shared" ca="1" si="29"/>
        <v>0</v>
      </c>
    </row>
    <row r="208" spans="1:18">
      <c r="A208" s="46">
        <v>20090310</v>
      </c>
      <c r="B208" s="47">
        <v>4601</v>
      </c>
      <c r="C208" s="47">
        <v>4669</v>
      </c>
      <c r="D208" s="47">
        <v>4567</v>
      </c>
      <c r="E208" s="47">
        <v>4656</v>
      </c>
      <c r="F208" s="48">
        <v>91575</v>
      </c>
      <c r="G208" s="57">
        <f t="shared" si="21"/>
        <v>-23</v>
      </c>
      <c r="H208" s="57">
        <f t="shared" si="22"/>
        <v>55</v>
      </c>
      <c r="I208" s="67">
        <f t="shared" ca="1" si="23"/>
        <v>-1</v>
      </c>
      <c r="J208" s="68">
        <f t="shared" ca="1" si="24"/>
        <v>-1</v>
      </c>
      <c r="K208" s="69">
        <f t="shared" ca="1" si="25"/>
        <v>-55</v>
      </c>
      <c r="L208" s="42">
        <f t="shared" ca="1" si="26"/>
        <v>1504</v>
      </c>
      <c r="M208" s="62">
        <f t="shared" si="27"/>
        <v>1</v>
      </c>
      <c r="N208" s="40">
        <f ca="1">AVERAGE(M208:OFFSET(M208,-(O$5-1),0))</f>
        <v>0.8</v>
      </c>
      <c r="O208" s="63">
        <f t="shared" ca="1" si="28"/>
        <v>-1</v>
      </c>
      <c r="P208" s="65">
        <f ca="1">AVERAGE(E208:OFFSET(E208,-(Q$5-1),0))</f>
        <v>4527.75</v>
      </c>
      <c r="Q208" s="41">
        <f ca="1">AVERAGE(E208:OFFSET(E208,-(Q$6-1),0))</f>
        <v>4493.6000000000004</v>
      </c>
      <c r="R208" s="63">
        <f t="shared" ca="1" si="29"/>
        <v>0</v>
      </c>
    </row>
    <row r="209" spans="1:18">
      <c r="A209" s="46">
        <v>20090311</v>
      </c>
      <c r="B209" s="47">
        <v>4775</v>
      </c>
      <c r="C209" s="47">
        <v>4785</v>
      </c>
      <c r="D209" s="47">
        <v>4715</v>
      </c>
      <c r="E209" s="47">
        <v>4758</v>
      </c>
      <c r="F209" s="48">
        <v>76468</v>
      </c>
      <c r="G209" s="57">
        <f t="shared" si="21"/>
        <v>119</v>
      </c>
      <c r="H209" s="57">
        <f t="shared" si="22"/>
        <v>-17</v>
      </c>
      <c r="I209" s="67">
        <f t="shared" ca="1" si="23"/>
        <v>-1</v>
      </c>
      <c r="J209" s="68">
        <f t="shared" ca="1" si="24"/>
        <v>-1</v>
      </c>
      <c r="K209" s="69">
        <f t="shared" ca="1" si="25"/>
        <v>-102</v>
      </c>
      <c r="L209" s="42">
        <f t="shared" ca="1" si="26"/>
        <v>1402</v>
      </c>
      <c r="M209" s="62">
        <f t="shared" si="27"/>
        <v>1</v>
      </c>
      <c r="N209" s="40">
        <f ca="1">AVERAGE(M209:OFFSET(M209,-(O$5-1),0))</f>
        <v>0.8</v>
      </c>
      <c r="O209" s="63">
        <f t="shared" ca="1" si="28"/>
        <v>-1</v>
      </c>
      <c r="P209" s="65">
        <f ca="1">AVERAGE(E209:OFFSET(E209,-(Q$5-1),0))</f>
        <v>4558.75</v>
      </c>
      <c r="Q209" s="41">
        <f ca="1">AVERAGE(E209:OFFSET(E209,-(Q$6-1),0))</f>
        <v>4503.6000000000004</v>
      </c>
      <c r="R209" s="63">
        <f t="shared" ca="1" si="29"/>
        <v>0</v>
      </c>
    </row>
    <row r="210" spans="1:18">
      <c r="A210" s="46">
        <v>20090312</v>
      </c>
      <c r="B210" s="47">
        <v>4752</v>
      </c>
      <c r="C210" s="47">
        <v>4779</v>
      </c>
      <c r="D210" s="47">
        <v>4724</v>
      </c>
      <c r="E210" s="47">
        <v>4748</v>
      </c>
      <c r="F210" s="48">
        <v>62705</v>
      </c>
      <c r="G210" s="57">
        <f t="shared" si="21"/>
        <v>-6</v>
      </c>
      <c r="H210" s="57">
        <f t="shared" si="22"/>
        <v>-4</v>
      </c>
      <c r="I210" s="67">
        <f t="shared" ca="1" si="23"/>
        <v>-1</v>
      </c>
      <c r="J210" s="68">
        <f t="shared" ca="1" si="24"/>
        <v>-1</v>
      </c>
      <c r="K210" s="69">
        <f t="shared" ca="1" si="25"/>
        <v>10</v>
      </c>
      <c r="L210" s="42">
        <f t="shared" ca="1" si="26"/>
        <v>1412</v>
      </c>
      <c r="M210" s="62">
        <f t="shared" si="27"/>
        <v>0</v>
      </c>
      <c r="N210" s="40">
        <f ca="1">AVERAGE(M210:OFFSET(M210,-(O$5-1),0))</f>
        <v>0.7</v>
      </c>
      <c r="O210" s="63">
        <f t="shared" ca="1" si="28"/>
        <v>-1</v>
      </c>
      <c r="P210" s="65">
        <f ca="1">AVERAGE(E210:OFFSET(E210,-(Q$5-1),0))</f>
        <v>4610.875</v>
      </c>
      <c r="Q210" s="41">
        <f ca="1">AVERAGE(E210:OFFSET(E210,-(Q$6-1),0))</f>
        <v>4518.75</v>
      </c>
      <c r="R210" s="63">
        <f t="shared" ca="1" si="29"/>
        <v>0</v>
      </c>
    </row>
    <row r="211" spans="1:18">
      <c r="A211" s="46">
        <v>20090313</v>
      </c>
      <c r="B211" s="47">
        <v>4820</v>
      </c>
      <c r="C211" s="47">
        <v>4942</v>
      </c>
      <c r="D211" s="47">
        <v>4813</v>
      </c>
      <c r="E211" s="47">
        <v>4900</v>
      </c>
      <c r="F211" s="48">
        <v>96063</v>
      </c>
      <c r="G211" s="57">
        <f t="shared" si="21"/>
        <v>72</v>
      </c>
      <c r="H211" s="57">
        <f t="shared" si="22"/>
        <v>80</v>
      </c>
      <c r="I211" s="67">
        <f t="shared" ca="1" si="23"/>
        <v>-1</v>
      </c>
      <c r="J211" s="68">
        <f t="shared" ca="1" si="24"/>
        <v>-1</v>
      </c>
      <c r="K211" s="69">
        <f t="shared" ca="1" si="25"/>
        <v>-152</v>
      </c>
      <c r="L211" s="42">
        <f t="shared" ca="1" si="26"/>
        <v>1260</v>
      </c>
      <c r="M211" s="62">
        <f t="shared" si="27"/>
        <v>1</v>
      </c>
      <c r="N211" s="40">
        <f ca="1">AVERAGE(M211:OFFSET(M211,-(O$5-1),0))</f>
        <v>0.7</v>
      </c>
      <c r="O211" s="63">
        <f t="shared" ca="1" si="28"/>
        <v>-1</v>
      </c>
      <c r="P211" s="65">
        <f ca="1">AVERAGE(E211:OFFSET(E211,-(Q$5-1),0))</f>
        <v>4677.5</v>
      </c>
      <c r="Q211" s="41">
        <f ca="1">AVERAGE(E211:OFFSET(E211,-(Q$6-1),0))</f>
        <v>4535.2</v>
      </c>
      <c r="R211" s="63">
        <f t="shared" ca="1" si="29"/>
        <v>0</v>
      </c>
    </row>
    <row r="212" spans="1:18">
      <c r="A212" s="46">
        <v>20090316</v>
      </c>
      <c r="B212" s="47">
        <v>4938</v>
      </c>
      <c r="C212" s="47">
        <v>4985</v>
      </c>
      <c r="D212" s="47">
        <v>4907</v>
      </c>
      <c r="E212" s="47">
        <v>4962</v>
      </c>
      <c r="F212" s="48">
        <v>75400</v>
      </c>
      <c r="G212" s="57">
        <f t="shared" si="21"/>
        <v>38</v>
      </c>
      <c r="H212" s="57">
        <f t="shared" si="22"/>
        <v>24</v>
      </c>
      <c r="I212" s="67">
        <f t="shared" ca="1" si="23"/>
        <v>-1</v>
      </c>
      <c r="J212" s="68">
        <f t="shared" ca="1" si="24"/>
        <v>-1</v>
      </c>
      <c r="K212" s="69">
        <f t="shared" ca="1" si="25"/>
        <v>-62</v>
      </c>
      <c r="L212" s="42">
        <f t="shared" ca="1" si="26"/>
        <v>1198</v>
      </c>
      <c r="M212" s="62">
        <f t="shared" si="27"/>
        <v>1</v>
      </c>
      <c r="N212" s="40">
        <f ca="1">AVERAGE(M212:OFFSET(M212,-(O$5-1),0))</f>
        <v>0.8</v>
      </c>
      <c r="O212" s="63">
        <f t="shared" ca="1" si="28"/>
        <v>-1</v>
      </c>
      <c r="P212" s="65">
        <f ca="1">AVERAGE(E212:OFFSET(E212,-(Q$5-1),0))</f>
        <v>4733.875</v>
      </c>
      <c r="Q212" s="41">
        <f ca="1">AVERAGE(E212:OFFSET(E212,-(Q$6-1),0))</f>
        <v>4554.55</v>
      </c>
      <c r="R212" s="63">
        <f t="shared" ca="1" si="29"/>
        <v>0</v>
      </c>
    </row>
    <row r="213" spans="1:18">
      <c r="A213" s="46">
        <v>20090317</v>
      </c>
      <c r="B213" s="47">
        <v>4966</v>
      </c>
      <c r="C213" s="47">
        <v>5070</v>
      </c>
      <c r="D213" s="47">
        <v>4946</v>
      </c>
      <c r="E213" s="47">
        <v>5057</v>
      </c>
      <c r="F213" s="48">
        <v>87165</v>
      </c>
      <c r="G213" s="57">
        <f t="shared" si="21"/>
        <v>4</v>
      </c>
      <c r="H213" s="57">
        <f t="shared" si="22"/>
        <v>91</v>
      </c>
      <c r="I213" s="67">
        <f t="shared" ca="1" si="23"/>
        <v>-1</v>
      </c>
      <c r="J213" s="68">
        <f t="shared" ca="1" si="24"/>
        <v>-1</v>
      </c>
      <c r="K213" s="69">
        <f t="shared" ca="1" si="25"/>
        <v>-95</v>
      </c>
      <c r="L213" s="42">
        <f t="shared" ca="1" si="26"/>
        <v>1103</v>
      </c>
      <c r="M213" s="62">
        <f t="shared" si="27"/>
        <v>1</v>
      </c>
      <c r="N213" s="40">
        <f ca="1">AVERAGE(M213:OFFSET(M213,-(O$5-1),0))</f>
        <v>0.8</v>
      </c>
      <c r="O213" s="63">
        <f t="shared" ca="1" si="28"/>
        <v>-1</v>
      </c>
      <c r="P213" s="65">
        <f ca="1">AVERAGE(E213:OFFSET(E213,-(Q$5-1),0))</f>
        <v>4791.625</v>
      </c>
      <c r="Q213" s="41">
        <f ca="1">AVERAGE(E213:OFFSET(E213,-(Q$6-1),0))</f>
        <v>4582.7</v>
      </c>
      <c r="R213" s="63">
        <f t="shared" ca="1" si="29"/>
        <v>0</v>
      </c>
    </row>
    <row r="214" spans="1:18">
      <c r="A214" s="46">
        <v>20090318</v>
      </c>
      <c r="B214" s="47">
        <v>5045</v>
      </c>
      <c r="C214" s="47">
        <v>5068</v>
      </c>
      <c r="D214" s="47">
        <v>4996</v>
      </c>
      <c r="E214" s="47">
        <v>5027</v>
      </c>
      <c r="F214" s="48">
        <v>57454</v>
      </c>
      <c r="G214" s="57">
        <f t="shared" si="21"/>
        <v>-12</v>
      </c>
      <c r="H214" s="57">
        <f t="shared" si="22"/>
        <v>-18</v>
      </c>
      <c r="I214" s="67">
        <f t="shared" ca="1" si="23"/>
        <v>-1</v>
      </c>
      <c r="J214" s="68">
        <f t="shared" ca="1" si="24"/>
        <v>-1</v>
      </c>
      <c r="K214" s="69">
        <f t="shared" ca="1" si="25"/>
        <v>30</v>
      </c>
      <c r="L214" s="42">
        <f t="shared" ca="1" si="26"/>
        <v>1133</v>
      </c>
      <c r="M214" s="62">
        <f t="shared" si="27"/>
        <v>0</v>
      </c>
      <c r="N214" s="40">
        <f ca="1">AVERAGE(M214:OFFSET(M214,-(O$5-1),0))</f>
        <v>0.7</v>
      </c>
      <c r="O214" s="63">
        <f t="shared" ca="1" si="28"/>
        <v>-1</v>
      </c>
      <c r="P214" s="65">
        <f ca="1">AVERAGE(E214:OFFSET(E214,-(Q$5-1),0))</f>
        <v>4841.5</v>
      </c>
      <c r="Q214" s="41">
        <f ca="1">AVERAGE(E214:OFFSET(E214,-(Q$6-1),0))</f>
        <v>4612.75</v>
      </c>
      <c r="R214" s="63">
        <f t="shared" ca="1" si="29"/>
        <v>0</v>
      </c>
    </row>
    <row r="215" spans="1:18">
      <c r="A215" s="46">
        <v>20090319</v>
      </c>
      <c r="B215" s="47">
        <v>5045</v>
      </c>
      <c r="C215" s="47">
        <v>5105</v>
      </c>
      <c r="D215" s="47">
        <v>4975</v>
      </c>
      <c r="E215" s="47">
        <v>4980</v>
      </c>
      <c r="F215" s="48">
        <v>105739</v>
      </c>
      <c r="G215" s="57">
        <f t="shared" si="21"/>
        <v>18</v>
      </c>
      <c r="H215" s="57">
        <f t="shared" si="22"/>
        <v>-65</v>
      </c>
      <c r="I215" s="67">
        <f t="shared" ca="1" si="23"/>
        <v>-1</v>
      </c>
      <c r="J215" s="68">
        <f t="shared" ca="1" si="24"/>
        <v>-1</v>
      </c>
      <c r="K215" s="69">
        <f t="shared" ca="1" si="25"/>
        <v>47</v>
      </c>
      <c r="L215" s="42">
        <f t="shared" ca="1" si="26"/>
        <v>1180</v>
      </c>
      <c r="M215" s="62">
        <f t="shared" si="27"/>
        <v>0</v>
      </c>
      <c r="N215" s="40">
        <f ca="1">AVERAGE(M215:OFFSET(M215,-(O$5-1),0))</f>
        <v>0.6</v>
      </c>
      <c r="O215" s="63">
        <f t="shared" ca="1" si="28"/>
        <v>-1</v>
      </c>
      <c r="P215" s="65">
        <f ca="1">AVERAGE(E215:OFFSET(E215,-(Q$5-1),0))</f>
        <v>4886</v>
      </c>
      <c r="Q215" s="41">
        <f ca="1">AVERAGE(E215:OFFSET(E215,-(Q$6-1),0))</f>
        <v>4638.3500000000004</v>
      </c>
      <c r="R215" s="63">
        <f t="shared" ca="1" si="29"/>
        <v>0</v>
      </c>
    </row>
    <row r="216" spans="1:18">
      <c r="A216" s="46">
        <v>20090320</v>
      </c>
      <c r="B216" s="47">
        <v>5006</v>
      </c>
      <c r="C216" s="47">
        <v>5040</v>
      </c>
      <c r="D216" s="47">
        <v>4922</v>
      </c>
      <c r="E216" s="47">
        <v>4950</v>
      </c>
      <c r="F216" s="48">
        <v>106367</v>
      </c>
      <c r="G216" s="57">
        <f t="shared" si="21"/>
        <v>26</v>
      </c>
      <c r="H216" s="57">
        <f t="shared" si="22"/>
        <v>-56</v>
      </c>
      <c r="I216" s="67">
        <f t="shared" ca="1" si="23"/>
        <v>0</v>
      </c>
      <c r="J216" s="68">
        <f t="shared" ca="1" si="24"/>
        <v>-1</v>
      </c>
      <c r="K216" s="69">
        <f t="shared" ca="1" si="25"/>
        <v>30</v>
      </c>
      <c r="L216" s="42">
        <f t="shared" ca="1" si="26"/>
        <v>1210</v>
      </c>
      <c r="M216" s="62">
        <f t="shared" si="27"/>
        <v>0</v>
      </c>
      <c r="N216" s="40">
        <f ca="1">AVERAGE(M216:OFFSET(M216,-(O$5-1),0))</f>
        <v>0.5</v>
      </c>
      <c r="O216" s="63">
        <f t="shared" ca="1" si="28"/>
        <v>0</v>
      </c>
      <c r="P216" s="65">
        <f ca="1">AVERAGE(E216:OFFSET(E216,-(Q$5-1),0))</f>
        <v>4922.75</v>
      </c>
      <c r="Q216" s="41">
        <f ca="1">AVERAGE(E216:OFFSET(E216,-(Q$6-1),0))</f>
        <v>4667.7</v>
      </c>
      <c r="R216" s="63">
        <f t="shared" ca="1" si="29"/>
        <v>0</v>
      </c>
    </row>
    <row r="217" spans="1:18">
      <c r="A217" s="46">
        <v>20090323</v>
      </c>
      <c r="B217" s="47">
        <v>5032</v>
      </c>
      <c r="C217" s="47">
        <v>5132</v>
      </c>
      <c r="D217" s="47">
        <v>4991</v>
      </c>
      <c r="E217" s="47">
        <v>5131</v>
      </c>
      <c r="F217" s="48">
        <v>95367</v>
      </c>
      <c r="G217" s="57">
        <f t="shared" ref="G217:G280" si="30">B217-E216</f>
        <v>82</v>
      </c>
      <c r="H217" s="57">
        <f t="shared" ref="H217:H280" si="31">E217-B217</f>
        <v>99</v>
      </c>
      <c r="I217" s="67">
        <f t="shared" ref="I217:I280" ca="1" si="32">IF(OR(O217=1,R217=1),1,IF(OR(O217=-1,R217=-1),-1,0))</f>
        <v>-1</v>
      </c>
      <c r="J217" s="68">
        <f t="shared" ref="J217:J280" ca="1" si="33">IF((J216+I216)&gt;=J$5, J$5, IF((J216+I216)&lt;=J$7, J$7, J216+I216))</f>
        <v>-1</v>
      </c>
      <c r="K217" s="69">
        <f t="shared" ref="K217:K280" ca="1" si="34">J216*(G217+H217)+(J217-J216)*H217</f>
        <v>-181</v>
      </c>
      <c r="L217" s="42">
        <f t="shared" ref="L217:L280" ca="1" si="35">L216+K217</f>
        <v>1029</v>
      </c>
      <c r="M217" s="62">
        <f t="shared" ref="M217:M280" si="36">IF(E217&gt;E216,1,0)</f>
        <v>1</v>
      </c>
      <c r="N217" s="40">
        <f ca="1">AVERAGE(M217:OFFSET(M217,-(O$5-1),0))</f>
        <v>0.6</v>
      </c>
      <c r="O217" s="63">
        <f t="shared" ref="O217:O280" ca="1" si="37">IF(N217&lt;=O$6, 1, IF(N217&gt;=O$7,-1, 0))</f>
        <v>-1</v>
      </c>
      <c r="P217" s="65">
        <f ca="1">AVERAGE(E217:OFFSET(E217,-(Q$5-1),0))</f>
        <v>4969.375</v>
      </c>
      <c r="Q217" s="41">
        <f ca="1">AVERAGE(E217:OFFSET(E217,-(Q$6-1),0))</f>
        <v>4702.95</v>
      </c>
      <c r="R217" s="63">
        <f t="shared" ref="R217:R280" ca="1" si="38">IF(AND(P216&lt;=Q216,P217&gt;Q217),1,IF(AND(P216&gt;=Q216,P217&lt;Q217),-1,0))</f>
        <v>0</v>
      </c>
    </row>
    <row r="218" spans="1:18">
      <c r="A218" s="46">
        <v>20090324</v>
      </c>
      <c r="B218" s="47">
        <v>5201</v>
      </c>
      <c r="C218" s="47">
        <v>5270</v>
      </c>
      <c r="D218" s="47">
        <v>5188</v>
      </c>
      <c r="E218" s="47">
        <v>5262</v>
      </c>
      <c r="F218" s="48">
        <v>99448</v>
      </c>
      <c r="G218" s="57">
        <f t="shared" si="30"/>
        <v>70</v>
      </c>
      <c r="H218" s="57">
        <f t="shared" si="31"/>
        <v>61</v>
      </c>
      <c r="I218" s="67">
        <f t="shared" ca="1" si="32"/>
        <v>-1</v>
      </c>
      <c r="J218" s="68">
        <f t="shared" ca="1" si="33"/>
        <v>-1</v>
      </c>
      <c r="K218" s="69">
        <f t="shared" ca="1" si="34"/>
        <v>-131</v>
      </c>
      <c r="L218" s="42">
        <f t="shared" ca="1" si="35"/>
        <v>898</v>
      </c>
      <c r="M218" s="62">
        <f t="shared" si="36"/>
        <v>1</v>
      </c>
      <c r="N218" s="40">
        <f ca="1">AVERAGE(M218:OFFSET(M218,-(O$5-1),0))</f>
        <v>0.6</v>
      </c>
      <c r="O218" s="63">
        <f t="shared" ca="1" si="37"/>
        <v>-1</v>
      </c>
      <c r="P218" s="65">
        <f ca="1">AVERAGE(E218:OFFSET(E218,-(Q$5-1),0))</f>
        <v>5033.625</v>
      </c>
      <c r="Q218" s="41">
        <f ca="1">AVERAGE(E218:OFFSET(E218,-(Q$6-1),0))</f>
        <v>4747</v>
      </c>
      <c r="R218" s="63">
        <f t="shared" ca="1" si="38"/>
        <v>0</v>
      </c>
    </row>
    <row r="219" spans="1:18">
      <c r="A219" s="46">
        <v>20090325</v>
      </c>
      <c r="B219" s="47">
        <v>5254</v>
      </c>
      <c r="C219" s="47">
        <v>5389</v>
      </c>
      <c r="D219" s="47">
        <v>5232</v>
      </c>
      <c r="E219" s="47">
        <v>5360</v>
      </c>
      <c r="F219" s="48">
        <v>114159</v>
      </c>
      <c r="G219" s="57">
        <f t="shared" si="30"/>
        <v>-8</v>
      </c>
      <c r="H219" s="57">
        <f t="shared" si="31"/>
        <v>106</v>
      </c>
      <c r="I219" s="67">
        <f t="shared" ca="1" si="32"/>
        <v>-1</v>
      </c>
      <c r="J219" s="68">
        <f t="shared" ca="1" si="33"/>
        <v>-1</v>
      </c>
      <c r="K219" s="69">
        <f t="shared" ca="1" si="34"/>
        <v>-98</v>
      </c>
      <c r="L219" s="42">
        <f t="shared" ca="1" si="35"/>
        <v>800</v>
      </c>
      <c r="M219" s="62">
        <f t="shared" si="36"/>
        <v>1</v>
      </c>
      <c r="N219" s="40">
        <f ca="1">AVERAGE(M219:OFFSET(M219,-(O$5-1),0))</f>
        <v>0.6</v>
      </c>
      <c r="O219" s="63">
        <f t="shared" ca="1" si="37"/>
        <v>-1</v>
      </c>
      <c r="P219" s="65">
        <f ca="1">AVERAGE(E219:OFFSET(E219,-(Q$5-1),0))</f>
        <v>5091.125</v>
      </c>
      <c r="Q219" s="41">
        <f ca="1">AVERAGE(E219:OFFSET(E219,-(Q$6-1),0))</f>
        <v>4791.7</v>
      </c>
      <c r="R219" s="63">
        <f t="shared" ca="1" si="38"/>
        <v>0</v>
      </c>
    </row>
    <row r="220" spans="1:18">
      <c r="A220" s="46">
        <v>20090326</v>
      </c>
      <c r="B220" s="47">
        <v>5349</v>
      </c>
      <c r="C220" s="47">
        <v>5434</v>
      </c>
      <c r="D220" s="47">
        <v>5317</v>
      </c>
      <c r="E220" s="47">
        <v>5385</v>
      </c>
      <c r="F220" s="48">
        <v>130866</v>
      </c>
      <c r="G220" s="57">
        <f t="shared" si="30"/>
        <v>-11</v>
      </c>
      <c r="H220" s="57">
        <f t="shared" si="31"/>
        <v>36</v>
      </c>
      <c r="I220" s="67">
        <f t="shared" ca="1" si="32"/>
        <v>-1</v>
      </c>
      <c r="J220" s="68">
        <f t="shared" ca="1" si="33"/>
        <v>-1</v>
      </c>
      <c r="K220" s="69">
        <f t="shared" ca="1" si="34"/>
        <v>-25</v>
      </c>
      <c r="L220" s="42">
        <f t="shared" ca="1" si="35"/>
        <v>775</v>
      </c>
      <c r="M220" s="62">
        <f t="shared" si="36"/>
        <v>1</v>
      </c>
      <c r="N220" s="40">
        <f ca="1">AVERAGE(M220:OFFSET(M220,-(O$5-1),0))</f>
        <v>0.7</v>
      </c>
      <c r="O220" s="63">
        <f t="shared" ca="1" si="37"/>
        <v>-1</v>
      </c>
      <c r="P220" s="65">
        <f ca="1">AVERAGE(E220:OFFSET(E220,-(Q$5-1),0))</f>
        <v>5144</v>
      </c>
      <c r="Q220" s="41">
        <f ca="1">AVERAGE(E220:OFFSET(E220,-(Q$6-1),0))</f>
        <v>4837.1000000000004</v>
      </c>
      <c r="R220" s="63">
        <f t="shared" ca="1" si="38"/>
        <v>0</v>
      </c>
    </row>
    <row r="221" spans="1:18">
      <c r="A221" s="46">
        <v>20090327</v>
      </c>
      <c r="B221" s="47">
        <v>5434</v>
      </c>
      <c r="C221" s="47">
        <v>5454</v>
      </c>
      <c r="D221" s="47">
        <v>5336</v>
      </c>
      <c r="E221" s="47">
        <v>5353</v>
      </c>
      <c r="F221" s="48">
        <v>110141</v>
      </c>
      <c r="G221" s="57">
        <f t="shared" si="30"/>
        <v>49</v>
      </c>
      <c r="H221" s="57">
        <f t="shared" si="31"/>
        <v>-81</v>
      </c>
      <c r="I221" s="67">
        <f t="shared" ca="1" si="32"/>
        <v>-1</v>
      </c>
      <c r="J221" s="68">
        <f t="shared" ca="1" si="33"/>
        <v>-1</v>
      </c>
      <c r="K221" s="69">
        <f t="shared" ca="1" si="34"/>
        <v>32</v>
      </c>
      <c r="L221" s="42">
        <f t="shared" ca="1" si="35"/>
        <v>807</v>
      </c>
      <c r="M221" s="62">
        <f t="shared" si="36"/>
        <v>0</v>
      </c>
      <c r="N221" s="40">
        <f ca="1">AVERAGE(M221:OFFSET(M221,-(O$5-1),0))</f>
        <v>0.6</v>
      </c>
      <c r="O221" s="63">
        <f t="shared" ca="1" si="37"/>
        <v>-1</v>
      </c>
      <c r="P221" s="65">
        <f ca="1">AVERAGE(E221:OFFSET(E221,-(Q$5-1),0))</f>
        <v>5181</v>
      </c>
      <c r="Q221" s="41">
        <f ca="1">AVERAGE(E221:OFFSET(E221,-(Q$6-1),0))</f>
        <v>4879.25</v>
      </c>
      <c r="R221" s="63">
        <f t="shared" ca="1" si="38"/>
        <v>0</v>
      </c>
    </row>
    <row r="222" spans="1:18">
      <c r="A222" s="46">
        <v>20090330</v>
      </c>
      <c r="B222" s="47">
        <v>5346</v>
      </c>
      <c r="C222" s="47">
        <v>5360</v>
      </c>
      <c r="D222" s="47">
        <v>5143</v>
      </c>
      <c r="E222" s="47">
        <v>5175</v>
      </c>
      <c r="F222" s="48">
        <v>111477</v>
      </c>
      <c r="G222" s="57">
        <f t="shared" si="30"/>
        <v>-7</v>
      </c>
      <c r="H222" s="57">
        <f t="shared" si="31"/>
        <v>-171</v>
      </c>
      <c r="I222" s="67">
        <f t="shared" ca="1" si="32"/>
        <v>0</v>
      </c>
      <c r="J222" s="68">
        <f t="shared" ca="1" si="33"/>
        <v>-1</v>
      </c>
      <c r="K222" s="69">
        <f t="shared" ca="1" si="34"/>
        <v>178</v>
      </c>
      <c r="L222" s="42">
        <f t="shared" ca="1" si="35"/>
        <v>985</v>
      </c>
      <c r="M222" s="62">
        <f t="shared" si="36"/>
        <v>0</v>
      </c>
      <c r="N222" s="40">
        <f ca="1">AVERAGE(M222:OFFSET(M222,-(O$5-1),0))</f>
        <v>0.5</v>
      </c>
      <c r="O222" s="63">
        <f t="shared" ca="1" si="37"/>
        <v>0</v>
      </c>
      <c r="P222" s="65">
        <f ca="1">AVERAGE(E222:OFFSET(E222,-(Q$5-1),0))</f>
        <v>5199.5</v>
      </c>
      <c r="Q222" s="41">
        <f ca="1">AVERAGE(E222:OFFSET(E222,-(Q$6-1),0))</f>
        <v>4921.45</v>
      </c>
      <c r="R222" s="63">
        <f t="shared" ca="1" si="38"/>
        <v>0</v>
      </c>
    </row>
    <row r="223" spans="1:18">
      <c r="A223" s="46">
        <v>20090331</v>
      </c>
      <c r="B223" s="47">
        <v>5225</v>
      </c>
      <c r="C223" s="47">
        <v>5295</v>
      </c>
      <c r="D223" s="47">
        <v>5175</v>
      </c>
      <c r="E223" s="47">
        <v>5201</v>
      </c>
      <c r="F223" s="48">
        <v>105619</v>
      </c>
      <c r="G223" s="57">
        <f t="shared" si="30"/>
        <v>50</v>
      </c>
      <c r="H223" s="57">
        <f t="shared" si="31"/>
        <v>-24</v>
      </c>
      <c r="I223" s="67">
        <f t="shared" ca="1" si="32"/>
        <v>0</v>
      </c>
      <c r="J223" s="68">
        <f t="shared" ca="1" si="33"/>
        <v>-1</v>
      </c>
      <c r="K223" s="69">
        <f t="shared" ca="1" si="34"/>
        <v>-26</v>
      </c>
      <c r="L223" s="42">
        <f t="shared" ca="1" si="35"/>
        <v>959</v>
      </c>
      <c r="M223" s="62">
        <f t="shared" si="36"/>
        <v>1</v>
      </c>
      <c r="N223" s="40">
        <f ca="1">AVERAGE(M223:OFFSET(M223,-(O$5-1),0))</f>
        <v>0.5</v>
      </c>
      <c r="O223" s="63">
        <f t="shared" ca="1" si="37"/>
        <v>0</v>
      </c>
      <c r="P223" s="65">
        <f ca="1">AVERAGE(E223:OFFSET(E223,-(Q$5-1),0))</f>
        <v>5227.125</v>
      </c>
      <c r="Q223" s="41">
        <f ca="1">AVERAGE(E223:OFFSET(E223,-(Q$6-1),0))</f>
        <v>4963.1499999999996</v>
      </c>
      <c r="R223" s="63">
        <f t="shared" ca="1" si="38"/>
        <v>0</v>
      </c>
    </row>
    <row r="224" spans="1:18">
      <c r="A224" s="46">
        <v>20090401</v>
      </c>
      <c r="B224" s="47">
        <v>5228</v>
      </c>
      <c r="C224" s="47">
        <v>5344</v>
      </c>
      <c r="D224" s="47">
        <v>5222</v>
      </c>
      <c r="E224" s="47">
        <v>5314</v>
      </c>
      <c r="F224" s="48">
        <v>135768</v>
      </c>
      <c r="G224" s="57">
        <f t="shared" si="30"/>
        <v>27</v>
      </c>
      <c r="H224" s="57">
        <f t="shared" si="31"/>
        <v>86</v>
      </c>
      <c r="I224" s="67">
        <f t="shared" ca="1" si="32"/>
        <v>-1</v>
      </c>
      <c r="J224" s="68">
        <f t="shared" ca="1" si="33"/>
        <v>-1</v>
      </c>
      <c r="K224" s="69">
        <f t="shared" ca="1" si="34"/>
        <v>-113</v>
      </c>
      <c r="L224" s="42">
        <f t="shared" ca="1" si="35"/>
        <v>846</v>
      </c>
      <c r="M224" s="62">
        <f t="shared" si="36"/>
        <v>1</v>
      </c>
      <c r="N224" s="40">
        <f ca="1">AVERAGE(M224:OFFSET(M224,-(O$5-1),0))</f>
        <v>0.6</v>
      </c>
      <c r="O224" s="63">
        <f t="shared" ca="1" si="37"/>
        <v>-1</v>
      </c>
      <c r="P224" s="65">
        <f ca="1">AVERAGE(E224:OFFSET(E224,-(Q$5-1),0))</f>
        <v>5272.625</v>
      </c>
      <c r="Q224" s="41">
        <f ca="1">AVERAGE(E224:OFFSET(E224,-(Q$6-1),0))</f>
        <v>5003.3</v>
      </c>
      <c r="R224" s="63">
        <f t="shared" ca="1" si="38"/>
        <v>0</v>
      </c>
    </row>
    <row r="225" spans="1:18">
      <c r="A225" s="46">
        <v>20090402</v>
      </c>
      <c r="B225" s="47">
        <v>5400</v>
      </c>
      <c r="C225" s="47">
        <v>5517</v>
      </c>
      <c r="D225" s="47">
        <v>5400</v>
      </c>
      <c r="E225" s="47">
        <v>5511</v>
      </c>
      <c r="F225" s="48">
        <v>115802</v>
      </c>
      <c r="G225" s="57">
        <f t="shared" si="30"/>
        <v>86</v>
      </c>
      <c r="H225" s="57">
        <f t="shared" si="31"/>
        <v>111</v>
      </c>
      <c r="I225" s="67">
        <f t="shared" ca="1" si="32"/>
        <v>-1</v>
      </c>
      <c r="J225" s="68">
        <f t="shared" ca="1" si="33"/>
        <v>-1</v>
      </c>
      <c r="K225" s="69">
        <f t="shared" ca="1" si="34"/>
        <v>-197</v>
      </c>
      <c r="L225" s="42">
        <f t="shared" ca="1" si="35"/>
        <v>649</v>
      </c>
      <c r="M225" s="62">
        <f t="shared" si="36"/>
        <v>1</v>
      </c>
      <c r="N225" s="40">
        <f ca="1">AVERAGE(M225:OFFSET(M225,-(O$5-1),0))</f>
        <v>0.7</v>
      </c>
      <c r="O225" s="63">
        <f t="shared" ca="1" si="37"/>
        <v>-1</v>
      </c>
      <c r="P225" s="65">
        <f ca="1">AVERAGE(E225:OFFSET(E225,-(Q$5-1),0))</f>
        <v>5320.125</v>
      </c>
      <c r="Q225" s="41">
        <f ca="1">AVERAGE(E225:OFFSET(E225,-(Q$6-1),0))</f>
        <v>5049.1000000000004</v>
      </c>
      <c r="R225" s="63">
        <f t="shared" ca="1" si="38"/>
        <v>0</v>
      </c>
    </row>
    <row r="226" spans="1:18">
      <c r="A226" s="46">
        <v>20090403</v>
      </c>
      <c r="B226" s="47">
        <v>5562</v>
      </c>
      <c r="C226" s="47">
        <v>5567</v>
      </c>
      <c r="D226" s="47">
        <v>5475</v>
      </c>
      <c r="E226" s="47">
        <v>5509</v>
      </c>
      <c r="F226" s="48">
        <v>103093</v>
      </c>
      <c r="G226" s="57">
        <f t="shared" si="30"/>
        <v>51</v>
      </c>
      <c r="H226" s="57">
        <f t="shared" si="31"/>
        <v>-53</v>
      </c>
      <c r="I226" s="67">
        <f t="shared" ca="1" si="32"/>
        <v>-1</v>
      </c>
      <c r="J226" s="68">
        <f t="shared" ca="1" si="33"/>
        <v>-1</v>
      </c>
      <c r="K226" s="69">
        <f t="shared" ca="1" si="34"/>
        <v>2</v>
      </c>
      <c r="L226" s="42">
        <f t="shared" ca="1" si="35"/>
        <v>651</v>
      </c>
      <c r="M226" s="62">
        <f t="shared" si="36"/>
        <v>0</v>
      </c>
      <c r="N226" s="40">
        <f ca="1">AVERAGE(M226:OFFSET(M226,-(O$5-1),0))</f>
        <v>0.7</v>
      </c>
      <c r="O226" s="63">
        <f t="shared" ca="1" si="37"/>
        <v>-1</v>
      </c>
      <c r="P226" s="65">
        <f ca="1">AVERAGE(E226:OFFSET(E226,-(Q$5-1),0))</f>
        <v>5351</v>
      </c>
      <c r="Q226" s="41">
        <f ca="1">AVERAGE(E226:OFFSET(E226,-(Q$6-1),0))</f>
        <v>5093.1499999999996</v>
      </c>
      <c r="R226" s="63">
        <f t="shared" ca="1" si="38"/>
        <v>0</v>
      </c>
    </row>
    <row r="227" spans="1:18">
      <c r="A227" s="46">
        <v>20090406</v>
      </c>
      <c r="B227" s="47">
        <v>5560</v>
      </c>
      <c r="C227" s="47">
        <v>5619</v>
      </c>
      <c r="D227" s="47">
        <v>5493</v>
      </c>
      <c r="E227" s="47">
        <v>5525</v>
      </c>
      <c r="F227" s="48">
        <v>104797</v>
      </c>
      <c r="G227" s="57">
        <f t="shared" si="30"/>
        <v>51</v>
      </c>
      <c r="H227" s="57">
        <f t="shared" si="31"/>
        <v>-35</v>
      </c>
      <c r="I227" s="67">
        <f t="shared" ca="1" si="32"/>
        <v>-1</v>
      </c>
      <c r="J227" s="68">
        <f t="shared" ca="1" si="33"/>
        <v>-1</v>
      </c>
      <c r="K227" s="69">
        <f t="shared" ca="1" si="34"/>
        <v>-16</v>
      </c>
      <c r="L227" s="42">
        <f t="shared" ca="1" si="35"/>
        <v>635</v>
      </c>
      <c r="M227" s="62">
        <f t="shared" si="36"/>
        <v>1</v>
      </c>
      <c r="N227" s="40">
        <f ca="1">AVERAGE(M227:OFFSET(M227,-(O$5-1),0))</f>
        <v>0.7</v>
      </c>
      <c r="O227" s="63">
        <f t="shared" ca="1" si="37"/>
        <v>-1</v>
      </c>
      <c r="P227" s="65">
        <f ca="1">AVERAGE(E227:OFFSET(E227,-(Q$5-1),0))</f>
        <v>5371.625</v>
      </c>
      <c r="Q227" s="41">
        <f ca="1">AVERAGE(E227:OFFSET(E227,-(Q$6-1),0))</f>
        <v>5138.2</v>
      </c>
      <c r="R227" s="63">
        <f t="shared" ca="1" si="38"/>
        <v>0</v>
      </c>
    </row>
    <row r="228" spans="1:18">
      <c r="A228" s="46">
        <v>20090407</v>
      </c>
      <c r="B228" s="47">
        <v>5503</v>
      </c>
      <c r="C228" s="47">
        <v>5587</v>
      </c>
      <c r="D228" s="47">
        <v>5464</v>
      </c>
      <c r="E228" s="47">
        <v>5583</v>
      </c>
      <c r="F228" s="48">
        <v>97719</v>
      </c>
      <c r="G228" s="57">
        <f t="shared" si="30"/>
        <v>-22</v>
      </c>
      <c r="H228" s="57">
        <f t="shared" si="31"/>
        <v>80</v>
      </c>
      <c r="I228" s="67">
        <f t="shared" ca="1" si="32"/>
        <v>-1</v>
      </c>
      <c r="J228" s="68">
        <f t="shared" ca="1" si="33"/>
        <v>-1</v>
      </c>
      <c r="K228" s="69">
        <f t="shared" ca="1" si="34"/>
        <v>-58</v>
      </c>
      <c r="L228" s="42">
        <f t="shared" ca="1" si="35"/>
        <v>577</v>
      </c>
      <c r="M228" s="62">
        <f t="shared" si="36"/>
        <v>1</v>
      </c>
      <c r="N228" s="40">
        <f ca="1">AVERAGE(M228:OFFSET(M228,-(O$5-1),0))</f>
        <v>0.7</v>
      </c>
      <c r="O228" s="63">
        <f t="shared" ca="1" si="37"/>
        <v>-1</v>
      </c>
      <c r="P228" s="65">
        <f ca="1">AVERAGE(E228:OFFSET(E228,-(Q$5-1),0))</f>
        <v>5396.375</v>
      </c>
      <c r="Q228" s="41">
        <f ca="1">AVERAGE(E228:OFFSET(E228,-(Q$6-1),0))</f>
        <v>5184.55</v>
      </c>
      <c r="R228" s="63">
        <f t="shared" ca="1" si="38"/>
        <v>0</v>
      </c>
    </row>
    <row r="229" spans="1:18">
      <c r="A229" s="46">
        <v>20090408</v>
      </c>
      <c r="B229" s="47">
        <v>5501</v>
      </c>
      <c r="C229" s="47">
        <v>5583</v>
      </c>
      <c r="D229" s="47">
        <v>5416</v>
      </c>
      <c r="E229" s="47">
        <v>5456</v>
      </c>
      <c r="F229" s="48">
        <v>134258</v>
      </c>
      <c r="G229" s="57">
        <f t="shared" si="30"/>
        <v>-82</v>
      </c>
      <c r="H229" s="57">
        <f t="shared" si="31"/>
        <v>-45</v>
      </c>
      <c r="I229" s="67">
        <f t="shared" ca="1" si="32"/>
        <v>-1</v>
      </c>
      <c r="J229" s="68">
        <f t="shared" ca="1" si="33"/>
        <v>-1</v>
      </c>
      <c r="K229" s="69">
        <f t="shared" ca="1" si="34"/>
        <v>127</v>
      </c>
      <c r="L229" s="42">
        <f t="shared" ca="1" si="35"/>
        <v>704</v>
      </c>
      <c r="M229" s="62">
        <f t="shared" si="36"/>
        <v>0</v>
      </c>
      <c r="N229" s="40">
        <f ca="1">AVERAGE(M229:OFFSET(M229,-(O$5-1),0))</f>
        <v>0.6</v>
      </c>
      <c r="O229" s="63">
        <f t="shared" ca="1" si="37"/>
        <v>-1</v>
      </c>
      <c r="P229" s="65">
        <f ca="1">AVERAGE(E229:OFFSET(E229,-(Q$5-1),0))</f>
        <v>5409.25</v>
      </c>
      <c r="Q229" s="41">
        <f ca="1">AVERAGE(E229:OFFSET(E229,-(Q$6-1),0))</f>
        <v>5219.45</v>
      </c>
      <c r="R229" s="63">
        <f t="shared" ca="1" si="38"/>
        <v>0</v>
      </c>
    </row>
    <row r="230" spans="1:18">
      <c r="A230" s="46">
        <v>20090409</v>
      </c>
      <c r="B230" s="47">
        <v>5538</v>
      </c>
      <c r="C230" s="47">
        <v>5718</v>
      </c>
      <c r="D230" s="47">
        <v>5525</v>
      </c>
      <c r="E230" s="47">
        <v>5712</v>
      </c>
      <c r="F230" s="48">
        <v>112212</v>
      </c>
      <c r="G230" s="57">
        <f t="shared" si="30"/>
        <v>82</v>
      </c>
      <c r="H230" s="57">
        <f t="shared" si="31"/>
        <v>174</v>
      </c>
      <c r="I230" s="67">
        <f t="shared" ca="1" si="32"/>
        <v>-1</v>
      </c>
      <c r="J230" s="68">
        <f t="shared" ca="1" si="33"/>
        <v>-1</v>
      </c>
      <c r="K230" s="69">
        <f t="shared" ca="1" si="34"/>
        <v>-256</v>
      </c>
      <c r="L230" s="42">
        <f t="shared" ca="1" si="35"/>
        <v>448</v>
      </c>
      <c r="M230" s="62">
        <f t="shared" si="36"/>
        <v>1</v>
      </c>
      <c r="N230" s="40">
        <f ca="1">AVERAGE(M230:OFFSET(M230,-(O$5-1),0))</f>
        <v>0.6</v>
      </c>
      <c r="O230" s="63">
        <f t="shared" ca="1" si="37"/>
        <v>-1</v>
      </c>
      <c r="P230" s="65">
        <f ca="1">AVERAGE(E230:OFFSET(E230,-(Q$5-1),0))</f>
        <v>5476.375</v>
      </c>
      <c r="Q230" s="41">
        <f ca="1">AVERAGE(E230:OFFSET(E230,-(Q$6-1),0))</f>
        <v>5267.65</v>
      </c>
      <c r="R230" s="63">
        <f t="shared" ca="1" si="38"/>
        <v>0</v>
      </c>
    </row>
    <row r="231" spans="1:18">
      <c r="A231" s="46">
        <v>20090410</v>
      </c>
      <c r="B231" s="47">
        <v>5762</v>
      </c>
      <c r="C231" s="47">
        <v>5830</v>
      </c>
      <c r="D231" s="47">
        <v>5696</v>
      </c>
      <c r="E231" s="47">
        <v>5827</v>
      </c>
      <c r="F231" s="48">
        <v>125751</v>
      </c>
      <c r="G231" s="57">
        <f t="shared" si="30"/>
        <v>50</v>
      </c>
      <c r="H231" s="57">
        <f t="shared" si="31"/>
        <v>65</v>
      </c>
      <c r="I231" s="67">
        <f t="shared" ca="1" si="32"/>
        <v>-1</v>
      </c>
      <c r="J231" s="68">
        <f t="shared" ca="1" si="33"/>
        <v>-1</v>
      </c>
      <c r="K231" s="69">
        <f t="shared" ca="1" si="34"/>
        <v>-115</v>
      </c>
      <c r="L231" s="42">
        <f t="shared" ca="1" si="35"/>
        <v>333</v>
      </c>
      <c r="M231" s="62">
        <f t="shared" si="36"/>
        <v>1</v>
      </c>
      <c r="N231" s="40">
        <f ca="1">AVERAGE(M231:OFFSET(M231,-(O$5-1),0))</f>
        <v>0.7</v>
      </c>
      <c r="O231" s="63">
        <f t="shared" ca="1" si="37"/>
        <v>-1</v>
      </c>
      <c r="P231" s="65">
        <f ca="1">AVERAGE(E231:OFFSET(E231,-(Q$5-1),0))</f>
        <v>5554.625</v>
      </c>
      <c r="Q231" s="41">
        <f ca="1">AVERAGE(E231:OFFSET(E231,-(Q$6-1),0))</f>
        <v>5314</v>
      </c>
      <c r="R231" s="63">
        <f t="shared" ca="1" si="38"/>
        <v>0</v>
      </c>
    </row>
    <row r="232" spans="1:18">
      <c r="A232" s="46">
        <v>20090413</v>
      </c>
      <c r="B232" s="47">
        <v>5835</v>
      </c>
      <c r="C232" s="47">
        <v>5876</v>
      </c>
      <c r="D232" s="47">
        <v>5786</v>
      </c>
      <c r="E232" s="47">
        <v>5846</v>
      </c>
      <c r="F232" s="48">
        <v>106059</v>
      </c>
      <c r="G232" s="57">
        <f t="shared" si="30"/>
        <v>8</v>
      </c>
      <c r="H232" s="57">
        <f t="shared" si="31"/>
        <v>11</v>
      </c>
      <c r="I232" s="67">
        <f t="shared" ca="1" si="32"/>
        <v>-1</v>
      </c>
      <c r="J232" s="68">
        <f t="shared" ca="1" si="33"/>
        <v>-1</v>
      </c>
      <c r="K232" s="69">
        <f t="shared" ca="1" si="34"/>
        <v>-19</v>
      </c>
      <c r="L232" s="42">
        <f t="shared" ca="1" si="35"/>
        <v>314</v>
      </c>
      <c r="M232" s="62">
        <f t="shared" si="36"/>
        <v>1</v>
      </c>
      <c r="N232" s="40">
        <f ca="1">AVERAGE(M232:OFFSET(M232,-(O$5-1),0))</f>
        <v>0.8</v>
      </c>
      <c r="O232" s="63">
        <f t="shared" ca="1" si="37"/>
        <v>-1</v>
      </c>
      <c r="P232" s="65">
        <f ca="1">AVERAGE(E232:OFFSET(E232,-(Q$5-1),0))</f>
        <v>5621.125</v>
      </c>
      <c r="Q232" s="41">
        <f ca="1">AVERAGE(E232:OFFSET(E232,-(Q$6-1),0))</f>
        <v>5358.2</v>
      </c>
      <c r="R232" s="63">
        <f t="shared" ca="1" si="38"/>
        <v>0</v>
      </c>
    </row>
    <row r="233" spans="1:18">
      <c r="A233" s="46">
        <v>20090414</v>
      </c>
      <c r="B233" s="47">
        <v>5825</v>
      </c>
      <c r="C233" s="47">
        <v>5901</v>
      </c>
      <c r="D233" s="47">
        <v>5785</v>
      </c>
      <c r="E233" s="47">
        <v>5858</v>
      </c>
      <c r="F233" s="48">
        <v>101268</v>
      </c>
      <c r="G233" s="57">
        <f t="shared" si="30"/>
        <v>-21</v>
      </c>
      <c r="H233" s="57">
        <f t="shared" si="31"/>
        <v>33</v>
      </c>
      <c r="I233" s="67">
        <f t="shared" ca="1" si="32"/>
        <v>-1</v>
      </c>
      <c r="J233" s="68">
        <f t="shared" ca="1" si="33"/>
        <v>-1</v>
      </c>
      <c r="K233" s="69">
        <f t="shared" ca="1" si="34"/>
        <v>-12</v>
      </c>
      <c r="L233" s="42">
        <f t="shared" ca="1" si="35"/>
        <v>302</v>
      </c>
      <c r="M233" s="62">
        <f t="shared" si="36"/>
        <v>1</v>
      </c>
      <c r="N233" s="40">
        <f ca="1">AVERAGE(M233:OFFSET(M233,-(O$5-1),0))</f>
        <v>0.8</v>
      </c>
      <c r="O233" s="63">
        <f t="shared" ca="1" si="37"/>
        <v>-1</v>
      </c>
      <c r="P233" s="65">
        <f ca="1">AVERAGE(E233:OFFSET(E233,-(Q$5-1),0))</f>
        <v>5664.5</v>
      </c>
      <c r="Q233" s="41">
        <f ca="1">AVERAGE(E233:OFFSET(E233,-(Q$6-1),0))</f>
        <v>5398.25</v>
      </c>
      <c r="R233" s="63">
        <f t="shared" ca="1" si="38"/>
        <v>0</v>
      </c>
    </row>
    <row r="234" spans="1:18">
      <c r="A234" s="46">
        <v>20090415</v>
      </c>
      <c r="B234" s="47">
        <v>5800</v>
      </c>
      <c r="C234" s="47">
        <v>5875</v>
      </c>
      <c r="D234" s="47">
        <v>5769</v>
      </c>
      <c r="E234" s="47">
        <v>5859</v>
      </c>
      <c r="F234" s="48">
        <v>61857</v>
      </c>
      <c r="G234" s="57">
        <f t="shared" si="30"/>
        <v>-58</v>
      </c>
      <c r="H234" s="57">
        <f t="shared" si="31"/>
        <v>59</v>
      </c>
      <c r="I234" s="67">
        <f t="shared" ca="1" si="32"/>
        <v>-1</v>
      </c>
      <c r="J234" s="68">
        <f t="shared" ca="1" si="33"/>
        <v>-1</v>
      </c>
      <c r="K234" s="69">
        <f t="shared" ca="1" si="34"/>
        <v>-1</v>
      </c>
      <c r="L234" s="42">
        <f t="shared" ca="1" si="35"/>
        <v>301</v>
      </c>
      <c r="M234" s="62">
        <f t="shared" si="36"/>
        <v>1</v>
      </c>
      <c r="N234" s="40">
        <f ca="1">AVERAGE(M234:OFFSET(M234,-(O$5-1),0))</f>
        <v>0.8</v>
      </c>
      <c r="O234" s="63">
        <f t="shared" ca="1" si="37"/>
        <v>-1</v>
      </c>
      <c r="P234" s="65">
        <f ca="1">AVERAGE(E234:OFFSET(E234,-(Q$5-1),0))</f>
        <v>5708.25</v>
      </c>
      <c r="Q234" s="41">
        <f ca="1">AVERAGE(E234:OFFSET(E234,-(Q$6-1),0))</f>
        <v>5439.85</v>
      </c>
      <c r="R234" s="63">
        <f t="shared" ca="1" si="38"/>
        <v>0</v>
      </c>
    </row>
    <row r="235" spans="1:18">
      <c r="A235" s="46">
        <v>20090416</v>
      </c>
      <c r="B235" s="47">
        <v>5999</v>
      </c>
      <c r="C235" s="47">
        <v>6047</v>
      </c>
      <c r="D235" s="47">
        <v>5950</v>
      </c>
      <c r="E235" s="47">
        <v>5994</v>
      </c>
      <c r="F235" s="48">
        <v>112920</v>
      </c>
      <c r="G235" s="57">
        <f t="shared" si="30"/>
        <v>140</v>
      </c>
      <c r="H235" s="57">
        <f t="shared" si="31"/>
        <v>-5</v>
      </c>
      <c r="I235" s="67">
        <f t="shared" ca="1" si="32"/>
        <v>-1</v>
      </c>
      <c r="J235" s="68">
        <f t="shared" ca="1" si="33"/>
        <v>-1</v>
      </c>
      <c r="K235" s="69">
        <f t="shared" ca="1" si="34"/>
        <v>-135</v>
      </c>
      <c r="L235" s="42">
        <f t="shared" ca="1" si="35"/>
        <v>166</v>
      </c>
      <c r="M235" s="62">
        <f t="shared" si="36"/>
        <v>1</v>
      </c>
      <c r="N235" s="40">
        <f ca="1">AVERAGE(M235:OFFSET(M235,-(O$5-1),0))</f>
        <v>0.8</v>
      </c>
      <c r="O235" s="63">
        <f t="shared" ca="1" si="37"/>
        <v>-1</v>
      </c>
      <c r="P235" s="65">
        <f ca="1">AVERAGE(E235:OFFSET(E235,-(Q$5-1),0))</f>
        <v>5766.875</v>
      </c>
      <c r="Q235" s="41">
        <f ca="1">AVERAGE(E235:OFFSET(E235,-(Q$6-1),0))</f>
        <v>5490.55</v>
      </c>
      <c r="R235" s="63">
        <f t="shared" ca="1" si="38"/>
        <v>0</v>
      </c>
    </row>
    <row r="236" spans="1:18">
      <c r="A236" s="46">
        <v>20090417</v>
      </c>
      <c r="B236" s="47">
        <v>6046</v>
      </c>
      <c r="C236" s="47">
        <v>6060</v>
      </c>
      <c r="D236" s="47">
        <v>5684</v>
      </c>
      <c r="E236" s="47">
        <v>5775</v>
      </c>
      <c r="F236" s="48">
        <v>149893</v>
      </c>
      <c r="G236" s="57">
        <f t="shared" si="30"/>
        <v>52</v>
      </c>
      <c r="H236" s="57">
        <f t="shared" si="31"/>
        <v>-271</v>
      </c>
      <c r="I236" s="67">
        <f t="shared" ca="1" si="32"/>
        <v>-1</v>
      </c>
      <c r="J236" s="68">
        <f t="shared" ca="1" si="33"/>
        <v>-1</v>
      </c>
      <c r="K236" s="69">
        <f t="shared" ca="1" si="34"/>
        <v>219</v>
      </c>
      <c r="L236" s="42">
        <f t="shared" ca="1" si="35"/>
        <v>385</v>
      </c>
      <c r="M236" s="62">
        <f t="shared" si="36"/>
        <v>0</v>
      </c>
      <c r="N236" s="40">
        <f ca="1">AVERAGE(M236:OFFSET(M236,-(O$5-1),0))</f>
        <v>0.8</v>
      </c>
      <c r="O236" s="63">
        <f t="shared" ca="1" si="37"/>
        <v>-1</v>
      </c>
      <c r="P236" s="65">
        <f ca="1">AVERAGE(E236:OFFSET(E236,-(Q$5-1),0))</f>
        <v>5790.875</v>
      </c>
      <c r="Q236" s="41">
        <f ca="1">AVERAGE(E236:OFFSET(E236,-(Q$6-1),0))</f>
        <v>5531.8</v>
      </c>
      <c r="R236" s="63">
        <f t="shared" ca="1" si="38"/>
        <v>0</v>
      </c>
    </row>
    <row r="237" spans="1:18">
      <c r="A237" s="46">
        <v>20090420</v>
      </c>
      <c r="B237" s="47">
        <v>5772</v>
      </c>
      <c r="C237" s="47">
        <v>5815</v>
      </c>
      <c r="D237" s="47">
        <v>5668</v>
      </c>
      <c r="E237" s="47">
        <v>5765</v>
      </c>
      <c r="F237" s="48">
        <v>128609</v>
      </c>
      <c r="G237" s="57">
        <f t="shared" si="30"/>
        <v>-3</v>
      </c>
      <c r="H237" s="57">
        <f t="shared" si="31"/>
        <v>-7</v>
      </c>
      <c r="I237" s="67">
        <f t="shared" ca="1" si="32"/>
        <v>-1</v>
      </c>
      <c r="J237" s="68">
        <f t="shared" ca="1" si="33"/>
        <v>-1</v>
      </c>
      <c r="K237" s="69">
        <f t="shared" ca="1" si="34"/>
        <v>10</v>
      </c>
      <c r="L237" s="42">
        <f t="shared" ca="1" si="35"/>
        <v>395</v>
      </c>
      <c r="M237" s="62">
        <f t="shared" si="36"/>
        <v>0</v>
      </c>
      <c r="N237" s="40">
        <f ca="1">AVERAGE(M237:OFFSET(M237,-(O$5-1),0))</f>
        <v>0.7</v>
      </c>
      <c r="O237" s="63">
        <f t="shared" ca="1" si="37"/>
        <v>-1</v>
      </c>
      <c r="P237" s="65">
        <f ca="1">AVERAGE(E237:OFFSET(E237,-(Q$5-1),0))</f>
        <v>5829.5</v>
      </c>
      <c r="Q237" s="41">
        <f ca="1">AVERAGE(E237:OFFSET(E237,-(Q$6-1),0))</f>
        <v>5563.5</v>
      </c>
      <c r="R237" s="63">
        <f t="shared" ca="1" si="38"/>
        <v>0</v>
      </c>
    </row>
    <row r="238" spans="1:18">
      <c r="A238" s="46">
        <v>20090421</v>
      </c>
      <c r="B238" s="47">
        <v>5667</v>
      </c>
      <c r="C238" s="47">
        <v>5899</v>
      </c>
      <c r="D238" s="47">
        <v>5654</v>
      </c>
      <c r="E238" s="47">
        <v>5896</v>
      </c>
      <c r="F238" s="48">
        <v>131984</v>
      </c>
      <c r="G238" s="57">
        <f t="shared" si="30"/>
        <v>-98</v>
      </c>
      <c r="H238" s="57">
        <f t="shared" si="31"/>
        <v>229</v>
      </c>
      <c r="I238" s="67">
        <f t="shared" ca="1" si="32"/>
        <v>-1</v>
      </c>
      <c r="J238" s="68">
        <f t="shared" ca="1" si="33"/>
        <v>-1</v>
      </c>
      <c r="K238" s="69">
        <f t="shared" ca="1" si="34"/>
        <v>-131</v>
      </c>
      <c r="L238" s="42">
        <f t="shared" ca="1" si="35"/>
        <v>264</v>
      </c>
      <c r="M238" s="62">
        <f t="shared" si="36"/>
        <v>1</v>
      </c>
      <c r="N238" s="40">
        <f ca="1">AVERAGE(M238:OFFSET(M238,-(O$5-1),0))</f>
        <v>0.7</v>
      </c>
      <c r="O238" s="63">
        <f t="shared" ca="1" si="37"/>
        <v>-1</v>
      </c>
      <c r="P238" s="65">
        <f ca="1">AVERAGE(E238:OFFSET(E238,-(Q$5-1),0))</f>
        <v>5852.5</v>
      </c>
      <c r="Q238" s="41">
        <f ca="1">AVERAGE(E238:OFFSET(E238,-(Q$6-1),0))</f>
        <v>5595.2</v>
      </c>
      <c r="R238" s="63">
        <f t="shared" ca="1" si="38"/>
        <v>0</v>
      </c>
    </row>
    <row r="239" spans="1:18">
      <c r="A239" s="46">
        <v>20090422</v>
      </c>
      <c r="B239" s="47">
        <v>5865</v>
      </c>
      <c r="C239" s="47">
        <v>5928</v>
      </c>
      <c r="D239" s="47">
        <v>5833</v>
      </c>
      <c r="E239" s="47">
        <v>5847</v>
      </c>
      <c r="F239" s="48">
        <v>115853</v>
      </c>
      <c r="G239" s="57">
        <f t="shared" si="30"/>
        <v>-31</v>
      </c>
      <c r="H239" s="57">
        <f t="shared" si="31"/>
        <v>-18</v>
      </c>
      <c r="I239" s="67">
        <f t="shared" ca="1" si="32"/>
        <v>-1</v>
      </c>
      <c r="J239" s="68">
        <f t="shared" ca="1" si="33"/>
        <v>-1</v>
      </c>
      <c r="K239" s="69">
        <f t="shared" ca="1" si="34"/>
        <v>49</v>
      </c>
      <c r="L239" s="42">
        <f t="shared" ca="1" si="35"/>
        <v>313</v>
      </c>
      <c r="M239" s="62">
        <f t="shared" si="36"/>
        <v>0</v>
      </c>
      <c r="N239" s="40">
        <f ca="1">AVERAGE(M239:OFFSET(M239,-(O$5-1),0))</f>
        <v>0.7</v>
      </c>
      <c r="O239" s="63">
        <f t="shared" ca="1" si="37"/>
        <v>-1</v>
      </c>
      <c r="P239" s="65">
        <f ca="1">AVERAGE(E239:OFFSET(E239,-(Q$5-1),0))</f>
        <v>5855</v>
      </c>
      <c r="Q239" s="41">
        <f ca="1">AVERAGE(E239:OFFSET(E239,-(Q$6-1),0))</f>
        <v>5619.55</v>
      </c>
      <c r="R239" s="63">
        <f t="shared" ca="1" si="38"/>
        <v>0</v>
      </c>
    </row>
    <row r="240" spans="1:18">
      <c r="A240" s="46">
        <v>20090423</v>
      </c>
      <c r="B240" s="47">
        <v>5870</v>
      </c>
      <c r="C240" s="47">
        <v>5906</v>
      </c>
      <c r="D240" s="47">
        <v>5755</v>
      </c>
      <c r="E240" s="47">
        <v>5901</v>
      </c>
      <c r="F240" s="48">
        <v>138403</v>
      </c>
      <c r="G240" s="57">
        <f t="shared" si="30"/>
        <v>23</v>
      </c>
      <c r="H240" s="57">
        <f t="shared" si="31"/>
        <v>31</v>
      </c>
      <c r="I240" s="67">
        <f t="shared" ca="1" si="32"/>
        <v>-1</v>
      </c>
      <c r="J240" s="68">
        <f t="shared" ca="1" si="33"/>
        <v>-1</v>
      </c>
      <c r="K240" s="69">
        <f t="shared" ca="1" si="34"/>
        <v>-54</v>
      </c>
      <c r="L240" s="42">
        <f t="shared" ca="1" si="35"/>
        <v>259</v>
      </c>
      <c r="M240" s="62">
        <f t="shared" si="36"/>
        <v>1</v>
      </c>
      <c r="N240" s="40">
        <f ca="1">AVERAGE(M240:OFFSET(M240,-(O$5-1),0))</f>
        <v>0.7</v>
      </c>
      <c r="O240" s="63">
        <f t="shared" ca="1" si="37"/>
        <v>-1</v>
      </c>
      <c r="P240" s="65">
        <f ca="1">AVERAGE(E240:OFFSET(E240,-(Q$5-1),0))</f>
        <v>5861.875</v>
      </c>
      <c r="Q240" s="41">
        <f ca="1">AVERAGE(E240:OFFSET(E240,-(Q$6-1),0))</f>
        <v>5645.35</v>
      </c>
      <c r="R240" s="63">
        <f t="shared" ca="1" si="38"/>
        <v>0</v>
      </c>
    </row>
    <row r="241" spans="1:18">
      <c r="A241" s="46">
        <v>20090424</v>
      </c>
      <c r="B241" s="47">
        <v>5915</v>
      </c>
      <c r="C241" s="47">
        <v>5998</v>
      </c>
      <c r="D241" s="47">
        <v>5791</v>
      </c>
      <c r="E241" s="47">
        <v>5904</v>
      </c>
      <c r="F241" s="48">
        <v>146115</v>
      </c>
      <c r="G241" s="57">
        <f t="shared" si="30"/>
        <v>14</v>
      </c>
      <c r="H241" s="57">
        <f t="shared" si="31"/>
        <v>-11</v>
      </c>
      <c r="I241" s="67">
        <f t="shared" ca="1" si="32"/>
        <v>-1</v>
      </c>
      <c r="J241" s="68">
        <f t="shared" ca="1" si="33"/>
        <v>-1</v>
      </c>
      <c r="K241" s="69">
        <f t="shared" ca="1" si="34"/>
        <v>-3</v>
      </c>
      <c r="L241" s="42">
        <f t="shared" ca="1" si="35"/>
        <v>256</v>
      </c>
      <c r="M241" s="62">
        <f t="shared" si="36"/>
        <v>1</v>
      </c>
      <c r="N241" s="40">
        <f ca="1">AVERAGE(M241:OFFSET(M241,-(O$5-1),0))</f>
        <v>0.7</v>
      </c>
      <c r="O241" s="63">
        <f t="shared" ca="1" si="37"/>
        <v>-1</v>
      </c>
      <c r="P241" s="65">
        <f ca="1">AVERAGE(E241:OFFSET(E241,-(Q$5-1),0))</f>
        <v>5867.625</v>
      </c>
      <c r="Q241" s="41">
        <f ca="1">AVERAGE(E241:OFFSET(E241,-(Q$6-1),0))</f>
        <v>5672.9</v>
      </c>
      <c r="R241" s="63">
        <f t="shared" ca="1" si="38"/>
        <v>0</v>
      </c>
    </row>
    <row r="242" spans="1:18">
      <c r="A242" s="46">
        <v>20090427</v>
      </c>
      <c r="B242" s="47">
        <v>5930</v>
      </c>
      <c r="C242" s="47">
        <v>5950</v>
      </c>
      <c r="D242" s="47">
        <v>5676</v>
      </c>
      <c r="E242" s="47">
        <v>5710</v>
      </c>
      <c r="F242" s="48">
        <v>147666</v>
      </c>
      <c r="G242" s="57">
        <f t="shared" si="30"/>
        <v>26</v>
      </c>
      <c r="H242" s="57">
        <f t="shared" si="31"/>
        <v>-220</v>
      </c>
      <c r="I242" s="67">
        <f t="shared" ca="1" si="32"/>
        <v>-1</v>
      </c>
      <c r="J242" s="68">
        <f t="shared" ca="1" si="33"/>
        <v>-1</v>
      </c>
      <c r="K242" s="69">
        <f t="shared" ca="1" si="34"/>
        <v>194</v>
      </c>
      <c r="L242" s="42">
        <f t="shared" ca="1" si="35"/>
        <v>450</v>
      </c>
      <c r="M242" s="62">
        <f t="shared" si="36"/>
        <v>0</v>
      </c>
      <c r="N242" s="40">
        <f ca="1">AVERAGE(M242:OFFSET(M242,-(O$5-1),0))</f>
        <v>0.6</v>
      </c>
      <c r="O242" s="63">
        <f t="shared" ca="1" si="37"/>
        <v>-1</v>
      </c>
      <c r="P242" s="65">
        <f ca="1">AVERAGE(E242:OFFSET(E242,-(Q$5-1),0))</f>
        <v>5849</v>
      </c>
      <c r="Q242" s="41">
        <f ca="1">AVERAGE(E242:OFFSET(E242,-(Q$6-1),0))</f>
        <v>5699.65</v>
      </c>
      <c r="R242" s="63">
        <f t="shared" ca="1" si="38"/>
        <v>0</v>
      </c>
    </row>
    <row r="243" spans="1:18">
      <c r="A243" s="46">
        <v>20090428</v>
      </c>
      <c r="B243" s="47">
        <v>5766</v>
      </c>
      <c r="C243" s="47">
        <v>5784</v>
      </c>
      <c r="D243" s="47">
        <v>5576</v>
      </c>
      <c r="E243" s="47">
        <v>5580</v>
      </c>
      <c r="F243" s="48">
        <v>159400</v>
      </c>
      <c r="G243" s="57">
        <f t="shared" si="30"/>
        <v>56</v>
      </c>
      <c r="H243" s="57">
        <f t="shared" si="31"/>
        <v>-186</v>
      </c>
      <c r="I243" s="67">
        <f t="shared" ca="1" si="32"/>
        <v>0</v>
      </c>
      <c r="J243" s="68">
        <f t="shared" ca="1" si="33"/>
        <v>-1</v>
      </c>
      <c r="K243" s="69">
        <f t="shared" ca="1" si="34"/>
        <v>130</v>
      </c>
      <c r="L243" s="42">
        <f t="shared" ca="1" si="35"/>
        <v>580</v>
      </c>
      <c r="M243" s="62">
        <f t="shared" si="36"/>
        <v>0</v>
      </c>
      <c r="N243" s="40">
        <f ca="1">AVERAGE(M243:OFFSET(M243,-(O$5-1),0))</f>
        <v>0.5</v>
      </c>
      <c r="O243" s="63">
        <f t="shared" ca="1" si="37"/>
        <v>0</v>
      </c>
      <c r="P243" s="65">
        <f ca="1">AVERAGE(E243:OFFSET(E243,-(Q$5-1),0))</f>
        <v>5797.25</v>
      </c>
      <c r="Q243" s="41">
        <f ca="1">AVERAGE(E243:OFFSET(E243,-(Q$6-1),0))</f>
        <v>5718.6</v>
      </c>
      <c r="R243" s="63">
        <f t="shared" ca="1" si="38"/>
        <v>0</v>
      </c>
    </row>
    <row r="244" spans="1:18">
      <c r="A244" s="46">
        <v>20090429</v>
      </c>
      <c r="B244" s="47">
        <v>5648</v>
      </c>
      <c r="C244" s="47">
        <v>5664</v>
      </c>
      <c r="D244" s="47">
        <v>5584</v>
      </c>
      <c r="E244" s="47">
        <v>5623</v>
      </c>
      <c r="F244" s="48">
        <v>109574</v>
      </c>
      <c r="G244" s="57">
        <f t="shared" si="30"/>
        <v>68</v>
      </c>
      <c r="H244" s="57">
        <f t="shared" si="31"/>
        <v>-25</v>
      </c>
      <c r="I244" s="67">
        <f t="shared" ca="1" si="32"/>
        <v>0</v>
      </c>
      <c r="J244" s="68">
        <f t="shared" ca="1" si="33"/>
        <v>-1</v>
      </c>
      <c r="K244" s="69">
        <f t="shared" ca="1" si="34"/>
        <v>-43</v>
      </c>
      <c r="L244" s="42">
        <f t="shared" ca="1" si="35"/>
        <v>537</v>
      </c>
      <c r="M244" s="62">
        <f t="shared" si="36"/>
        <v>1</v>
      </c>
      <c r="N244" s="40">
        <f ca="1">AVERAGE(M244:OFFSET(M244,-(O$5-1),0))</f>
        <v>0.5</v>
      </c>
      <c r="O244" s="63">
        <f t="shared" ca="1" si="37"/>
        <v>0</v>
      </c>
      <c r="P244" s="65">
        <f ca="1">AVERAGE(E244:OFFSET(E244,-(Q$5-1),0))</f>
        <v>5778.25</v>
      </c>
      <c r="Q244" s="41">
        <f ca="1">AVERAGE(E244:OFFSET(E244,-(Q$6-1),0))</f>
        <v>5734.05</v>
      </c>
      <c r="R244" s="63">
        <f t="shared" ca="1" si="38"/>
        <v>0</v>
      </c>
    </row>
    <row r="245" spans="1:18">
      <c r="A245" s="46">
        <v>20090430</v>
      </c>
      <c r="B245" s="47">
        <v>6015</v>
      </c>
      <c r="C245" s="47">
        <v>6015</v>
      </c>
      <c r="D245" s="47">
        <v>5995</v>
      </c>
      <c r="E245" s="47">
        <v>6015</v>
      </c>
      <c r="F245" s="48">
        <v>29279</v>
      </c>
      <c r="G245" s="57">
        <f t="shared" si="30"/>
        <v>392</v>
      </c>
      <c r="H245" s="57">
        <f t="shared" si="31"/>
        <v>0</v>
      </c>
      <c r="I245" s="67">
        <f t="shared" ca="1" si="32"/>
        <v>0</v>
      </c>
      <c r="J245" s="68">
        <f t="shared" ca="1" si="33"/>
        <v>-1</v>
      </c>
      <c r="K245" s="69">
        <f t="shared" ca="1" si="34"/>
        <v>-392</v>
      </c>
      <c r="L245" s="42">
        <f t="shared" ca="1" si="35"/>
        <v>145</v>
      </c>
      <c r="M245" s="62">
        <f t="shared" si="36"/>
        <v>1</v>
      </c>
      <c r="N245" s="40">
        <f ca="1">AVERAGE(M245:OFFSET(M245,-(O$5-1),0))</f>
        <v>0.5</v>
      </c>
      <c r="O245" s="63">
        <f t="shared" ca="1" si="37"/>
        <v>0</v>
      </c>
      <c r="P245" s="65">
        <f ca="1">AVERAGE(E245:OFFSET(E245,-(Q$5-1),0))</f>
        <v>5809.5</v>
      </c>
      <c r="Q245" s="41">
        <f ca="1">AVERAGE(E245:OFFSET(E245,-(Q$6-1),0))</f>
        <v>5759.25</v>
      </c>
      <c r="R245" s="63">
        <f t="shared" ca="1" si="38"/>
        <v>0</v>
      </c>
    </row>
    <row r="246" spans="1:18">
      <c r="A246" s="46">
        <v>20090504</v>
      </c>
      <c r="B246" s="47">
        <v>6363</v>
      </c>
      <c r="C246" s="47">
        <v>6436</v>
      </c>
      <c r="D246" s="47">
        <v>6301</v>
      </c>
      <c r="E246" s="47">
        <v>6436</v>
      </c>
      <c r="F246" s="48">
        <v>39606</v>
      </c>
      <c r="G246" s="57">
        <f t="shared" si="30"/>
        <v>348</v>
      </c>
      <c r="H246" s="57">
        <f t="shared" si="31"/>
        <v>73</v>
      </c>
      <c r="I246" s="67">
        <f t="shared" ca="1" si="32"/>
        <v>-1</v>
      </c>
      <c r="J246" s="68">
        <f t="shared" ca="1" si="33"/>
        <v>-1</v>
      </c>
      <c r="K246" s="69">
        <f t="shared" ca="1" si="34"/>
        <v>-421</v>
      </c>
      <c r="L246" s="42">
        <f t="shared" ca="1" si="35"/>
        <v>-276</v>
      </c>
      <c r="M246" s="62">
        <f t="shared" si="36"/>
        <v>1</v>
      </c>
      <c r="N246" s="40">
        <f ca="1">AVERAGE(M246:OFFSET(M246,-(O$5-1),0))</f>
        <v>0.6</v>
      </c>
      <c r="O246" s="63">
        <f t="shared" ca="1" si="37"/>
        <v>-1</v>
      </c>
      <c r="P246" s="65">
        <f ca="1">AVERAGE(E246:OFFSET(E246,-(Q$5-1),0))</f>
        <v>5877</v>
      </c>
      <c r="Q246" s="41">
        <f ca="1">AVERAGE(E246:OFFSET(E246,-(Q$6-1),0))</f>
        <v>5805.6</v>
      </c>
      <c r="R246" s="63">
        <f t="shared" ca="1" si="38"/>
        <v>0</v>
      </c>
    </row>
    <row r="247" spans="1:18">
      <c r="A247" s="46">
        <v>20090505</v>
      </c>
      <c r="B247" s="47">
        <v>6637</v>
      </c>
      <c r="C247" s="47">
        <v>6720</v>
      </c>
      <c r="D247" s="47">
        <v>6426</v>
      </c>
      <c r="E247" s="47">
        <v>6542</v>
      </c>
      <c r="F247" s="48">
        <v>155017</v>
      </c>
      <c r="G247" s="57">
        <f t="shared" si="30"/>
        <v>201</v>
      </c>
      <c r="H247" s="57">
        <f t="shared" si="31"/>
        <v>-95</v>
      </c>
      <c r="I247" s="67">
        <f t="shared" ca="1" si="32"/>
        <v>-1</v>
      </c>
      <c r="J247" s="68">
        <f t="shared" ca="1" si="33"/>
        <v>-1</v>
      </c>
      <c r="K247" s="69">
        <f t="shared" ca="1" si="34"/>
        <v>-106</v>
      </c>
      <c r="L247" s="42">
        <f t="shared" ca="1" si="35"/>
        <v>-382</v>
      </c>
      <c r="M247" s="62">
        <f t="shared" si="36"/>
        <v>1</v>
      </c>
      <c r="N247" s="40">
        <f ca="1">AVERAGE(M247:OFFSET(M247,-(O$5-1),0))</f>
        <v>0.7</v>
      </c>
      <c r="O247" s="63">
        <f t="shared" ca="1" si="37"/>
        <v>-1</v>
      </c>
      <c r="P247" s="65">
        <f ca="1">AVERAGE(E247:OFFSET(E247,-(Q$5-1),0))</f>
        <v>5963.875</v>
      </c>
      <c r="Q247" s="41">
        <f ca="1">AVERAGE(E247:OFFSET(E247,-(Q$6-1),0))</f>
        <v>5856.45</v>
      </c>
      <c r="R247" s="63">
        <f t="shared" ca="1" si="38"/>
        <v>0</v>
      </c>
    </row>
    <row r="248" spans="1:18">
      <c r="A248" s="46">
        <v>20090506</v>
      </c>
      <c r="B248" s="47">
        <v>6510</v>
      </c>
      <c r="C248" s="47">
        <v>6585</v>
      </c>
      <c r="D248" s="47">
        <v>6412</v>
      </c>
      <c r="E248" s="47">
        <v>6536</v>
      </c>
      <c r="F248" s="48">
        <v>119634</v>
      </c>
      <c r="G248" s="57">
        <f t="shared" si="30"/>
        <v>-32</v>
      </c>
      <c r="H248" s="57">
        <f t="shared" si="31"/>
        <v>26</v>
      </c>
      <c r="I248" s="67">
        <f t="shared" ca="1" si="32"/>
        <v>-1</v>
      </c>
      <c r="J248" s="68">
        <f t="shared" ca="1" si="33"/>
        <v>-1</v>
      </c>
      <c r="K248" s="69">
        <f t="shared" ca="1" si="34"/>
        <v>6</v>
      </c>
      <c r="L248" s="42">
        <f t="shared" ca="1" si="35"/>
        <v>-376</v>
      </c>
      <c r="M248" s="62">
        <f t="shared" si="36"/>
        <v>0</v>
      </c>
      <c r="N248" s="40">
        <f ca="1">AVERAGE(M248:OFFSET(M248,-(O$5-1),0))</f>
        <v>0.6</v>
      </c>
      <c r="O248" s="63">
        <f t="shared" ca="1" si="37"/>
        <v>-1</v>
      </c>
      <c r="P248" s="65">
        <f ca="1">AVERAGE(E248:OFFSET(E248,-(Q$5-1),0))</f>
        <v>6043.25</v>
      </c>
      <c r="Q248" s="41">
        <f ca="1">AVERAGE(E248:OFFSET(E248,-(Q$6-1),0))</f>
        <v>5904.1</v>
      </c>
      <c r="R248" s="63">
        <f t="shared" ca="1" si="38"/>
        <v>0</v>
      </c>
    </row>
    <row r="249" spans="1:18">
      <c r="A249" s="46">
        <v>20090507</v>
      </c>
      <c r="B249" s="47">
        <v>6606</v>
      </c>
      <c r="C249" s="47">
        <v>6630</v>
      </c>
      <c r="D249" s="47">
        <v>6446</v>
      </c>
      <c r="E249" s="47">
        <v>6613</v>
      </c>
      <c r="F249" s="48">
        <v>109116</v>
      </c>
      <c r="G249" s="57">
        <f t="shared" si="30"/>
        <v>70</v>
      </c>
      <c r="H249" s="57">
        <f t="shared" si="31"/>
        <v>7</v>
      </c>
      <c r="I249" s="67">
        <f t="shared" ca="1" si="32"/>
        <v>-1</v>
      </c>
      <c r="J249" s="68">
        <f t="shared" ca="1" si="33"/>
        <v>-1</v>
      </c>
      <c r="K249" s="69">
        <f t="shared" ca="1" si="34"/>
        <v>-77</v>
      </c>
      <c r="L249" s="42">
        <f t="shared" ca="1" si="35"/>
        <v>-453</v>
      </c>
      <c r="M249" s="62">
        <f t="shared" si="36"/>
        <v>1</v>
      </c>
      <c r="N249" s="40">
        <f ca="1">AVERAGE(M249:OFFSET(M249,-(O$5-1),0))</f>
        <v>0.7</v>
      </c>
      <c r="O249" s="63">
        <f t="shared" ca="1" si="37"/>
        <v>-1</v>
      </c>
      <c r="P249" s="65">
        <f ca="1">AVERAGE(E249:OFFSET(E249,-(Q$5-1),0))</f>
        <v>6131.875</v>
      </c>
      <c r="Q249" s="41">
        <f ca="1">AVERAGE(E249:OFFSET(E249,-(Q$6-1),0))</f>
        <v>5961.95</v>
      </c>
      <c r="R249" s="63">
        <f t="shared" ca="1" si="38"/>
        <v>0</v>
      </c>
    </row>
    <row r="250" spans="1:18">
      <c r="A250" s="46">
        <v>20090508</v>
      </c>
      <c r="B250" s="47">
        <v>6570</v>
      </c>
      <c r="C250" s="47">
        <v>6598</v>
      </c>
      <c r="D250" s="47">
        <v>6506</v>
      </c>
      <c r="E250" s="47">
        <v>6572</v>
      </c>
      <c r="F250" s="48">
        <v>93272</v>
      </c>
      <c r="G250" s="57">
        <f t="shared" si="30"/>
        <v>-43</v>
      </c>
      <c r="H250" s="57">
        <f t="shared" si="31"/>
        <v>2</v>
      </c>
      <c r="I250" s="67">
        <f t="shared" ca="1" si="32"/>
        <v>-1</v>
      </c>
      <c r="J250" s="68">
        <f t="shared" ca="1" si="33"/>
        <v>-1</v>
      </c>
      <c r="K250" s="69">
        <f t="shared" ca="1" si="34"/>
        <v>41</v>
      </c>
      <c r="L250" s="42">
        <f t="shared" ca="1" si="35"/>
        <v>-412</v>
      </c>
      <c r="M250" s="62">
        <f t="shared" si="36"/>
        <v>0</v>
      </c>
      <c r="N250" s="40">
        <f ca="1">AVERAGE(M250:OFFSET(M250,-(O$5-1),0))</f>
        <v>0.6</v>
      </c>
      <c r="O250" s="63">
        <f t="shared" ca="1" si="37"/>
        <v>-1</v>
      </c>
      <c r="P250" s="65">
        <f ca="1">AVERAGE(E250:OFFSET(E250,-(Q$5-1),0))</f>
        <v>6239.625</v>
      </c>
      <c r="Q250" s="41">
        <f ca="1">AVERAGE(E250:OFFSET(E250,-(Q$6-1),0))</f>
        <v>6004.95</v>
      </c>
      <c r="R250" s="63">
        <f t="shared" ca="1" si="38"/>
        <v>0</v>
      </c>
    </row>
    <row r="251" spans="1:18">
      <c r="A251" s="46">
        <v>20090511</v>
      </c>
      <c r="B251" s="47">
        <v>6549</v>
      </c>
      <c r="C251" s="47">
        <v>6697</v>
      </c>
      <c r="D251" s="47">
        <v>6522</v>
      </c>
      <c r="E251" s="47">
        <v>6597</v>
      </c>
      <c r="F251" s="48">
        <v>100228</v>
      </c>
      <c r="G251" s="57">
        <f t="shared" si="30"/>
        <v>-23</v>
      </c>
      <c r="H251" s="57">
        <f t="shared" si="31"/>
        <v>48</v>
      </c>
      <c r="I251" s="67">
        <f t="shared" ca="1" si="32"/>
        <v>-1</v>
      </c>
      <c r="J251" s="68">
        <f t="shared" ca="1" si="33"/>
        <v>-1</v>
      </c>
      <c r="K251" s="69">
        <f t="shared" ca="1" si="34"/>
        <v>-25</v>
      </c>
      <c r="L251" s="42">
        <f t="shared" ca="1" si="35"/>
        <v>-437</v>
      </c>
      <c r="M251" s="62">
        <f t="shared" si="36"/>
        <v>1</v>
      </c>
      <c r="N251" s="40">
        <f ca="1">AVERAGE(M251:OFFSET(M251,-(O$5-1),0))</f>
        <v>0.6</v>
      </c>
      <c r="O251" s="63">
        <f t="shared" ca="1" si="37"/>
        <v>-1</v>
      </c>
      <c r="P251" s="65">
        <f ca="1">AVERAGE(E251:OFFSET(E251,-(Q$5-1),0))</f>
        <v>6366.75</v>
      </c>
      <c r="Q251" s="41">
        <f ca="1">AVERAGE(E251:OFFSET(E251,-(Q$6-1),0))</f>
        <v>6043.45</v>
      </c>
      <c r="R251" s="63">
        <f t="shared" ca="1" si="38"/>
        <v>0</v>
      </c>
    </row>
    <row r="252" spans="1:18">
      <c r="A252" s="46">
        <v>20090512</v>
      </c>
      <c r="B252" s="47">
        <v>6562</v>
      </c>
      <c r="C252" s="47">
        <v>6586</v>
      </c>
      <c r="D252" s="47">
        <v>6385</v>
      </c>
      <c r="E252" s="47">
        <v>6447</v>
      </c>
      <c r="F252" s="48">
        <v>125215</v>
      </c>
      <c r="G252" s="57">
        <f t="shared" si="30"/>
        <v>-35</v>
      </c>
      <c r="H252" s="57">
        <f t="shared" si="31"/>
        <v>-115</v>
      </c>
      <c r="I252" s="67">
        <f t="shared" ca="1" si="32"/>
        <v>-1</v>
      </c>
      <c r="J252" s="68">
        <f t="shared" ca="1" si="33"/>
        <v>-1</v>
      </c>
      <c r="K252" s="69">
        <f t="shared" ca="1" si="34"/>
        <v>150</v>
      </c>
      <c r="L252" s="42">
        <f t="shared" ca="1" si="35"/>
        <v>-287</v>
      </c>
      <c r="M252" s="62">
        <f t="shared" si="36"/>
        <v>0</v>
      </c>
      <c r="N252" s="40">
        <f ca="1">AVERAGE(M252:OFFSET(M252,-(O$5-1),0))</f>
        <v>0.6</v>
      </c>
      <c r="O252" s="63">
        <f t="shared" ca="1" si="37"/>
        <v>-1</v>
      </c>
      <c r="P252" s="65">
        <f ca="1">AVERAGE(E252:OFFSET(E252,-(Q$5-1),0))</f>
        <v>6469.75</v>
      </c>
      <c r="Q252" s="41">
        <f ca="1">AVERAGE(E252:OFFSET(E252,-(Q$6-1),0))</f>
        <v>6073.5</v>
      </c>
      <c r="R252" s="63">
        <f t="shared" ca="1" si="38"/>
        <v>0</v>
      </c>
    </row>
    <row r="253" spans="1:18">
      <c r="A253" s="46">
        <v>20090513</v>
      </c>
      <c r="B253" s="47">
        <v>6454</v>
      </c>
      <c r="C253" s="47">
        <v>6499</v>
      </c>
      <c r="D253" s="47">
        <v>6420</v>
      </c>
      <c r="E253" s="47">
        <v>6469</v>
      </c>
      <c r="F253" s="48">
        <v>81204</v>
      </c>
      <c r="G253" s="57">
        <f t="shared" si="30"/>
        <v>7</v>
      </c>
      <c r="H253" s="57">
        <f t="shared" si="31"/>
        <v>15</v>
      </c>
      <c r="I253" s="67">
        <f t="shared" ca="1" si="32"/>
        <v>-1</v>
      </c>
      <c r="J253" s="68">
        <f t="shared" ca="1" si="33"/>
        <v>-1</v>
      </c>
      <c r="K253" s="69">
        <f t="shared" ca="1" si="34"/>
        <v>-22</v>
      </c>
      <c r="L253" s="42">
        <f t="shared" ca="1" si="35"/>
        <v>-309</v>
      </c>
      <c r="M253" s="62">
        <f t="shared" si="36"/>
        <v>1</v>
      </c>
      <c r="N253" s="40">
        <f ca="1">AVERAGE(M253:OFFSET(M253,-(O$5-1),0))</f>
        <v>0.7</v>
      </c>
      <c r="O253" s="63">
        <f t="shared" ca="1" si="37"/>
        <v>-1</v>
      </c>
      <c r="P253" s="65">
        <f ca="1">AVERAGE(E253:OFFSET(E253,-(Q$5-1),0))</f>
        <v>6526.5</v>
      </c>
      <c r="Q253" s="41">
        <f ca="1">AVERAGE(E253:OFFSET(E253,-(Q$6-1),0))</f>
        <v>6104.05</v>
      </c>
      <c r="R253" s="63">
        <f t="shared" ca="1" si="38"/>
        <v>0</v>
      </c>
    </row>
    <row r="254" spans="1:18">
      <c r="A254" s="46">
        <v>20090514</v>
      </c>
      <c r="B254" s="47">
        <v>6355</v>
      </c>
      <c r="C254" s="47">
        <v>6419</v>
      </c>
      <c r="D254" s="47">
        <v>6315</v>
      </c>
      <c r="E254" s="47">
        <v>6321</v>
      </c>
      <c r="F254" s="48">
        <v>90054</v>
      </c>
      <c r="G254" s="57">
        <f t="shared" si="30"/>
        <v>-114</v>
      </c>
      <c r="H254" s="57">
        <f t="shared" si="31"/>
        <v>-34</v>
      </c>
      <c r="I254" s="67">
        <f t="shared" ca="1" si="32"/>
        <v>-1</v>
      </c>
      <c r="J254" s="68">
        <f t="shared" ca="1" si="33"/>
        <v>-1</v>
      </c>
      <c r="K254" s="69">
        <f t="shared" ca="1" si="34"/>
        <v>148</v>
      </c>
      <c r="L254" s="42">
        <f t="shared" ca="1" si="35"/>
        <v>-161</v>
      </c>
      <c r="M254" s="62">
        <f t="shared" si="36"/>
        <v>0</v>
      </c>
      <c r="N254" s="40">
        <f ca="1">AVERAGE(M254:OFFSET(M254,-(O$5-1),0))</f>
        <v>0.6</v>
      </c>
      <c r="O254" s="63">
        <f t="shared" ca="1" si="37"/>
        <v>-1</v>
      </c>
      <c r="P254" s="65">
        <f ca="1">AVERAGE(E254:OFFSET(E254,-(Q$5-1),0))</f>
        <v>6512.125</v>
      </c>
      <c r="Q254" s="41">
        <f ca="1">AVERAGE(E254:OFFSET(E254,-(Q$6-1),0))</f>
        <v>6127.15</v>
      </c>
      <c r="R254" s="63">
        <f t="shared" ca="1" si="38"/>
        <v>0</v>
      </c>
    </row>
    <row r="255" spans="1:18">
      <c r="A255" s="46">
        <v>20090515</v>
      </c>
      <c r="B255" s="47">
        <v>6372</v>
      </c>
      <c r="C255" s="47">
        <v>6509</v>
      </c>
      <c r="D255" s="47">
        <v>6356</v>
      </c>
      <c r="E255" s="47">
        <v>6476</v>
      </c>
      <c r="F255" s="48">
        <v>97643</v>
      </c>
      <c r="G255" s="57">
        <f t="shared" si="30"/>
        <v>51</v>
      </c>
      <c r="H255" s="57">
        <f t="shared" si="31"/>
        <v>104</v>
      </c>
      <c r="I255" s="67">
        <f t="shared" ca="1" si="32"/>
        <v>-1</v>
      </c>
      <c r="J255" s="68">
        <f t="shared" ca="1" si="33"/>
        <v>-1</v>
      </c>
      <c r="K255" s="69">
        <f t="shared" ca="1" si="34"/>
        <v>-155</v>
      </c>
      <c r="L255" s="42">
        <f t="shared" ca="1" si="35"/>
        <v>-316</v>
      </c>
      <c r="M255" s="62">
        <f t="shared" si="36"/>
        <v>1</v>
      </c>
      <c r="N255" s="40">
        <f ca="1">AVERAGE(M255:OFFSET(M255,-(O$5-1),0))</f>
        <v>0.6</v>
      </c>
      <c r="O255" s="63">
        <f t="shared" ca="1" si="37"/>
        <v>-1</v>
      </c>
      <c r="P255" s="65">
        <f ca="1">AVERAGE(E255:OFFSET(E255,-(Q$5-1),0))</f>
        <v>6503.875</v>
      </c>
      <c r="Q255" s="41">
        <f ca="1">AVERAGE(E255:OFFSET(E255,-(Q$6-1),0))</f>
        <v>6151.25</v>
      </c>
      <c r="R255" s="63">
        <f t="shared" ca="1" si="38"/>
        <v>0</v>
      </c>
    </row>
    <row r="256" spans="1:18">
      <c r="A256" s="46">
        <v>20090518</v>
      </c>
      <c r="B256" s="47">
        <v>6424</v>
      </c>
      <c r="C256" s="47">
        <v>6573</v>
      </c>
      <c r="D256" s="47">
        <v>6402</v>
      </c>
      <c r="E256" s="47">
        <v>6561</v>
      </c>
      <c r="F256" s="48">
        <v>103280</v>
      </c>
      <c r="G256" s="57">
        <f t="shared" si="30"/>
        <v>-52</v>
      </c>
      <c r="H256" s="57">
        <f t="shared" si="31"/>
        <v>137</v>
      </c>
      <c r="I256" s="67">
        <f t="shared" ca="1" si="32"/>
        <v>-1</v>
      </c>
      <c r="J256" s="68">
        <f t="shared" ca="1" si="33"/>
        <v>-1</v>
      </c>
      <c r="K256" s="69">
        <f t="shared" ca="1" si="34"/>
        <v>-85</v>
      </c>
      <c r="L256" s="42">
        <f t="shared" ca="1" si="35"/>
        <v>-401</v>
      </c>
      <c r="M256" s="62">
        <f t="shared" si="36"/>
        <v>1</v>
      </c>
      <c r="N256" s="40">
        <f ca="1">AVERAGE(M256:OFFSET(M256,-(O$5-1),0))</f>
        <v>0.6</v>
      </c>
      <c r="O256" s="63">
        <f t="shared" ca="1" si="37"/>
        <v>-1</v>
      </c>
      <c r="P256" s="65">
        <f ca="1">AVERAGE(E256:OFFSET(E256,-(Q$5-1),0))</f>
        <v>6507</v>
      </c>
      <c r="Q256" s="41">
        <f ca="1">AVERAGE(E256:OFFSET(E256,-(Q$6-1),0))</f>
        <v>6190.55</v>
      </c>
      <c r="R256" s="63">
        <f t="shared" ca="1" si="38"/>
        <v>0</v>
      </c>
    </row>
    <row r="257" spans="1:18">
      <c r="A257" s="46">
        <v>20090519</v>
      </c>
      <c r="B257" s="47">
        <v>6715</v>
      </c>
      <c r="C257" s="47">
        <v>6804</v>
      </c>
      <c r="D257" s="47">
        <v>6623</v>
      </c>
      <c r="E257" s="47">
        <v>6693</v>
      </c>
      <c r="F257" s="48">
        <v>103465</v>
      </c>
      <c r="G257" s="57">
        <f t="shared" si="30"/>
        <v>154</v>
      </c>
      <c r="H257" s="57">
        <f t="shared" si="31"/>
        <v>-22</v>
      </c>
      <c r="I257" s="67">
        <f t="shared" ca="1" si="32"/>
        <v>-1</v>
      </c>
      <c r="J257" s="68">
        <f t="shared" ca="1" si="33"/>
        <v>-1</v>
      </c>
      <c r="K257" s="69">
        <f t="shared" ca="1" si="34"/>
        <v>-132</v>
      </c>
      <c r="L257" s="42">
        <f t="shared" ca="1" si="35"/>
        <v>-533</v>
      </c>
      <c r="M257" s="62">
        <f t="shared" si="36"/>
        <v>1</v>
      </c>
      <c r="N257" s="40">
        <f ca="1">AVERAGE(M257:OFFSET(M257,-(O$5-1),0))</f>
        <v>0.6</v>
      </c>
      <c r="O257" s="63">
        <f t="shared" ca="1" si="37"/>
        <v>-1</v>
      </c>
      <c r="P257" s="65">
        <f ca="1">AVERAGE(E257:OFFSET(E257,-(Q$5-1),0))</f>
        <v>6517</v>
      </c>
      <c r="Q257" s="41">
        <f ca="1">AVERAGE(E257:OFFSET(E257,-(Q$6-1),0))</f>
        <v>6236.95</v>
      </c>
      <c r="R257" s="63">
        <f t="shared" ca="1" si="38"/>
        <v>0</v>
      </c>
    </row>
    <row r="258" spans="1:18">
      <c r="A258" s="46">
        <v>20090520</v>
      </c>
      <c r="B258" s="47">
        <v>6685</v>
      </c>
      <c r="C258" s="47">
        <v>6716</v>
      </c>
      <c r="D258" s="47">
        <v>6570</v>
      </c>
      <c r="E258" s="47">
        <v>6668</v>
      </c>
      <c r="F258" s="48">
        <v>55009</v>
      </c>
      <c r="G258" s="57">
        <f t="shared" si="30"/>
        <v>-8</v>
      </c>
      <c r="H258" s="57">
        <f t="shared" si="31"/>
        <v>-17</v>
      </c>
      <c r="I258" s="67">
        <f t="shared" ca="1" si="32"/>
        <v>-1</v>
      </c>
      <c r="J258" s="68">
        <f t="shared" ca="1" si="33"/>
        <v>-1</v>
      </c>
      <c r="K258" s="69">
        <f t="shared" ca="1" si="34"/>
        <v>25</v>
      </c>
      <c r="L258" s="42">
        <f t="shared" ca="1" si="35"/>
        <v>-508</v>
      </c>
      <c r="M258" s="62">
        <f t="shared" si="36"/>
        <v>0</v>
      </c>
      <c r="N258" s="40">
        <f ca="1">AVERAGE(M258:OFFSET(M258,-(O$5-1),0))</f>
        <v>0.6</v>
      </c>
      <c r="O258" s="63">
        <f t="shared" ca="1" si="37"/>
        <v>-1</v>
      </c>
      <c r="P258" s="65">
        <f ca="1">AVERAGE(E258:OFFSET(E258,-(Q$5-1),0))</f>
        <v>6529</v>
      </c>
      <c r="Q258" s="41">
        <f ca="1">AVERAGE(E258:OFFSET(E258,-(Q$6-1),0))</f>
        <v>6275.55</v>
      </c>
      <c r="R258" s="63">
        <f t="shared" ca="1" si="38"/>
        <v>0</v>
      </c>
    </row>
    <row r="259" spans="1:18">
      <c r="A259" s="46">
        <v>20090521</v>
      </c>
      <c r="B259" s="47">
        <v>6629</v>
      </c>
      <c r="C259" s="47">
        <v>6695</v>
      </c>
      <c r="D259" s="47">
        <v>6605</v>
      </c>
      <c r="E259" s="47">
        <v>6671</v>
      </c>
      <c r="F259" s="48">
        <v>91016</v>
      </c>
      <c r="G259" s="57">
        <f t="shared" si="30"/>
        <v>-39</v>
      </c>
      <c r="H259" s="57">
        <f t="shared" si="31"/>
        <v>42</v>
      </c>
      <c r="I259" s="67">
        <f t="shared" ca="1" si="32"/>
        <v>-1</v>
      </c>
      <c r="J259" s="68">
        <f t="shared" ca="1" si="33"/>
        <v>-1</v>
      </c>
      <c r="K259" s="69">
        <f t="shared" ca="1" si="34"/>
        <v>-3</v>
      </c>
      <c r="L259" s="42">
        <f t="shared" ca="1" si="35"/>
        <v>-511</v>
      </c>
      <c r="M259" s="62">
        <f t="shared" si="36"/>
        <v>1</v>
      </c>
      <c r="N259" s="40">
        <f ca="1">AVERAGE(M259:OFFSET(M259,-(O$5-1),0))</f>
        <v>0.6</v>
      </c>
      <c r="O259" s="63">
        <f t="shared" ca="1" si="37"/>
        <v>-1</v>
      </c>
      <c r="P259" s="65">
        <f ca="1">AVERAGE(E259:OFFSET(E259,-(Q$5-1),0))</f>
        <v>6538.25</v>
      </c>
      <c r="Q259" s="41">
        <f ca="1">AVERAGE(E259:OFFSET(E259,-(Q$6-1),0))</f>
        <v>6316.75</v>
      </c>
      <c r="R259" s="63">
        <f t="shared" ca="1" si="38"/>
        <v>0</v>
      </c>
    </row>
    <row r="260" spans="1:18">
      <c r="A260" s="46">
        <v>20090522</v>
      </c>
      <c r="B260" s="47">
        <v>6605</v>
      </c>
      <c r="C260" s="47">
        <v>6732</v>
      </c>
      <c r="D260" s="47">
        <v>6595</v>
      </c>
      <c r="E260" s="47">
        <v>6692</v>
      </c>
      <c r="F260" s="48">
        <v>90225</v>
      </c>
      <c r="G260" s="57">
        <f t="shared" si="30"/>
        <v>-66</v>
      </c>
      <c r="H260" s="57">
        <f t="shared" si="31"/>
        <v>87</v>
      </c>
      <c r="I260" s="67">
        <f t="shared" ca="1" si="32"/>
        <v>-1</v>
      </c>
      <c r="J260" s="68">
        <f t="shared" ca="1" si="33"/>
        <v>-1</v>
      </c>
      <c r="K260" s="69">
        <f t="shared" ca="1" si="34"/>
        <v>-21</v>
      </c>
      <c r="L260" s="42">
        <f t="shared" ca="1" si="35"/>
        <v>-532</v>
      </c>
      <c r="M260" s="62">
        <f t="shared" si="36"/>
        <v>1</v>
      </c>
      <c r="N260" s="40">
        <f ca="1">AVERAGE(M260:OFFSET(M260,-(O$5-1),0))</f>
        <v>0.7</v>
      </c>
      <c r="O260" s="63">
        <f t="shared" ca="1" si="37"/>
        <v>-1</v>
      </c>
      <c r="P260" s="65">
        <f ca="1">AVERAGE(E260:OFFSET(E260,-(Q$5-1),0))</f>
        <v>6568.875</v>
      </c>
      <c r="Q260" s="41">
        <f ca="1">AVERAGE(E260:OFFSET(E260,-(Q$6-1),0))</f>
        <v>6356.3</v>
      </c>
      <c r="R260" s="63">
        <f t="shared" ca="1" si="38"/>
        <v>0</v>
      </c>
    </row>
    <row r="261" spans="1:18">
      <c r="A261" s="46">
        <v>20090525</v>
      </c>
      <c r="B261" s="47">
        <v>6751</v>
      </c>
      <c r="C261" s="47">
        <v>6837</v>
      </c>
      <c r="D261" s="47">
        <v>6647</v>
      </c>
      <c r="E261" s="47">
        <v>6724</v>
      </c>
      <c r="F261" s="48">
        <v>109495</v>
      </c>
      <c r="G261" s="57">
        <f t="shared" si="30"/>
        <v>59</v>
      </c>
      <c r="H261" s="57">
        <f t="shared" si="31"/>
        <v>-27</v>
      </c>
      <c r="I261" s="67">
        <f t="shared" ca="1" si="32"/>
        <v>-1</v>
      </c>
      <c r="J261" s="68">
        <f t="shared" ca="1" si="33"/>
        <v>-1</v>
      </c>
      <c r="K261" s="69">
        <f t="shared" ca="1" si="34"/>
        <v>-32</v>
      </c>
      <c r="L261" s="42">
        <f t="shared" ca="1" si="35"/>
        <v>-564</v>
      </c>
      <c r="M261" s="62">
        <f t="shared" si="36"/>
        <v>1</v>
      </c>
      <c r="N261" s="40">
        <f ca="1">AVERAGE(M261:OFFSET(M261,-(O$5-1),0))</f>
        <v>0.7</v>
      </c>
      <c r="O261" s="63">
        <f t="shared" ca="1" si="37"/>
        <v>-1</v>
      </c>
      <c r="P261" s="65">
        <f ca="1">AVERAGE(E261:OFFSET(E261,-(Q$5-1),0))</f>
        <v>6600.75</v>
      </c>
      <c r="Q261" s="41">
        <f ca="1">AVERAGE(E261:OFFSET(E261,-(Q$6-1),0))</f>
        <v>6397.3</v>
      </c>
      <c r="R261" s="63">
        <f t="shared" ca="1" si="38"/>
        <v>0</v>
      </c>
    </row>
    <row r="262" spans="1:18">
      <c r="A262" s="46">
        <v>20090526</v>
      </c>
      <c r="B262" s="47">
        <v>6700</v>
      </c>
      <c r="C262" s="47">
        <v>6761</v>
      </c>
      <c r="D262" s="47">
        <v>6633</v>
      </c>
      <c r="E262" s="47">
        <v>6646</v>
      </c>
      <c r="F262" s="48">
        <v>94233</v>
      </c>
      <c r="G262" s="57">
        <f t="shared" si="30"/>
        <v>-24</v>
      </c>
      <c r="H262" s="57">
        <f t="shared" si="31"/>
        <v>-54</v>
      </c>
      <c r="I262" s="67">
        <f t="shared" ca="1" si="32"/>
        <v>-1</v>
      </c>
      <c r="J262" s="68">
        <f t="shared" ca="1" si="33"/>
        <v>-1</v>
      </c>
      <c r="K262" s="69">
        <f t="shared" ca="1" si="34"/>
        <v>78</v>
      </c>
      <c r="L262" s="42">
        <f t="shared" ca="1" si="35"/>
        <v>-486</v>
      </c>
      <c r="M262" s="62">
        <f t="shared" si="36"/>
        <v>0</v>
      </c>
      <c r="N262" s="40">
        <f ca="1">AVERAGE(M262:OFFSET(M262,-(O$5-1),0))</f>
        <v>0.7</v>
      </c>
      <c r="O262" s="63">
        <f t="shared" ca="1" si="37"/>
        <v>-1</v>
      </c>
      <c r="P262" s="65">
        <f ca="1">AVERAGE(E262:OFFSET(E262,-(Q$5-1),0))</f>
        <v>6641.375</v>
      </c>
      <c r="Q262" s="41">
        <f ca="1">AVERAGE(E262:OFFSET(E262,-(Q$6-1),0))</f>
        <v>6444.1</v>
      </c>
      <c r="R262" s="63">
        <f t="shared" ca="1" si="38"/>
        <v>0</v>
      </c>
    </row>
    <row r="263" spans="1:18">
      <c r="A263" s="46">
        <v>20090527</v>
      </c>
      <c r="B263" s="47">
        <v>6720</v>
      </c>
      <c r="C263" s="47">
        <v>6997</v>
      </c>
      <c r="D263" s="47">
        <v>6699</v>
      </c>
      <c r="E263" s="47">
        <v>6932</v>
      </c>
      <c r="F263" s="48">
        <v>115296</v>
      </c>
      <c r="G263" s="57">
        <f t="shared" si="30"/>
        <v>74</v>
      </c>
      <c r="H263" s="57">
        <f t="shared" si="31"/>
        <v>212</v>
      </c>
      <c r="I263" s="67">
        <f t="shared" ca="1" si="32"/>
        <v>-1</v>
      </c>
      <c r="J263" s="68">
        <f t="shared" ca="1" si="33"/>
        <v>-1</v>
      </c>
      <c r="K263" s="69">
        <f t="shared" ca="1" si="34"/>
        <v>-286</v>
      </c>
      <c r="L263" s="42">
        <f t="shared" ca="1" si="35"/>
        <v>-772</v>
      </c>
      <c r="M263" s="62">
        <f t="shared" si="36"/>
        <v>1</v>
      </c>
      <c r="N263" s="40">
        <f ca="1">AVERAGE(M263:OFFSET(M263,-(O$5-1),0))</f>
        <v>0.7</v>
      </c>
      <c r="O263" s="63">
        <f t="shared" ca="1" si="37"/>
        <v>-1</v>
      </c>
      <c r="P263" s="65">
        <f ca="1">AVERAGE(E263:OFFSET(E263,-(Q$5-1),0))</f>
        <v>6698.375</v>
      </c>
      <c r="Q263" s="41">
        <f ca="1">AVERAGE(E263:OFFSET(E263,-(Q$6-1),0))</f>
        <v>6511.7</v>
      </c>
      <c r="R263" s="63">
        <f t="shared" ca="1" si="38"/>
        <v>0</v>
      </c>
    </row>
    <row r="264" spans="1:18">
      <c r="A264" s="46">
        <v>20090601</v>
      </c>
      <c r="B264" s="47">
        <v>6980</v>
      </c>
      <c r="C264" s="47">
        <v>7010</v>
      </c>
      <c r="D264" s="47">
        <v>6900</v>
      </c>
      <c r="E264" s="47">
        <v>6954</v>
      </c>
      <c r="F264" s="48">
        <v>76090</v>
      </c>
      <c r="G264" s="57">
        <f t="shared" si="30"/>
        <v>48</v>
      </c>
      <c r="H264" s="57">
        <f t="shared" si="31"/>
        <v>-26</v>
      </c>
      <c r="I264" s="67">
        <f t="shared" ca="1" si="32"/>
        <v>-1</v>
      </c>
      <c r="J264" s="68">
        <f t="shared" ca="1" si="33"/>
        <v>-1</v>
      </c>
      <c r="K264" s="69">
        <f t="shared" ca="1" si="34"/>
        <v>-22</v>
      </c>
      <c r="L264" s="42">
        <f t="shared" ca="1" si="35"/>
        <v>-794</v>
      </c>
      <c r="M264" s="62">
        <f t="shared" si="36"/>
        <v>1</v>
      </c>
      <c r="N264" s="40">
        <f ca="1">AVERAGE(M264:OFFSET(M264,-(O$5-1),0))</f>
        <v>0.8</v>
      </c>
      <c r="O264" s="63">
        <f t="shared" ca="1" si="37"/>
        <v>-1</v>
      </c>
      <c r="P264" s="65">
        <f ca="1">AVERAGE(E264:OFFSET(E264,-(Q$5-1),0))</f>
        <v>6747.5</v>
      </c>
      <c r="Q264" s="41">
        <f ca="1">AVERAGE(E264:OFFSET(E264,-(Q$6-1),0))</f>
        <v>6578.25</v>
      </c>
      <c r="R264" s="63">
        <f t="shared" ca="1" si="38"/>
        <v>0</v>
      </c>
    </row>
    <row r="265" spans="1:18">
      <c r="A265" s="46">
        <v>20090602</v>
      </c>
      <c r="B265" s="47">
        <v>7037</v>
      </c>
      <c r="C265" s="47">
        <v>7050</v>
      </c>
      <c r="D265" s="47">
        <v>6864</v>
      </c>
      <c r="E265" s="47">
        <v>6916</v>
      </c>
      <c r="F265" s="48">
        <v>92034</v>
      </c>
      <c r="G265" s="57">
        <f t="shared" si="30"/>
        <v>83</v>
      </c>
      <c r="H265" s="57">
        <f t="shared" si="31"/>
        <v>-121</v>
      </c>
      <c r="I265" s="67">
        <f t="shared" ca="1" si="32"/>
        <v>-1</v>
      </c>
      <c r="J265" s="68">
        <f t="shared" ca="1" si="33"/>
        <v>-1</v>
      </c>
      <c r="K265" s="69">
        <f t="shared" ca="1" si="34"/>
        <v>38</v>
      </c>
      <c r="L265" s="42">
        <f t="shared" ca="1" si="35"/>
        <v>-756</v>
      </c>
      <c r="M265" s="62">
        <f t="shared" si="36"/>
        <v>0</v>
      </c>
      <c r="N265" s="40">
        <f ca="1">AVERAGE(M265:OFFSET(M265,-(O$5-1),0))</f>
        <v>0.7</v>
      </c>
      <c r="O265" s="63">
        <f t="shared" ca="1" si="37"/>
        <v>-1</v>
      </c>
      <c r="P265" s="65">
        <f ca="1">AVERAGE(E265:OFFSET(E265,-(Q$5-1),0))</f>
        <v>6775.375</v>
      </c>
      <c r="Q265" s="41">
        <f ca="1">AVERAGE(E265:OFFSET(E265,-(Q$6-1),0))</f>
        <v>6623.3</v>
      </c>
      <c r="R265" s="63">
        <f t="shared" ca="1" si="38"/>
        <v>0</v>
      </c>
    </row>
    <row r="266" spans="1:18">
      <c r="A266" s="46">
        <v>20090603</v>
      </c>
      <c r="B266" s="47">
        <v>6928</v>
      </c>
      <c r="C266" s="47">
        <v>6933</v>
      </c>
      <c r="D266" s="47">
        <v>6842</v>
      </c>
      <c r="E266" s="47">
        <v>6898</v>
      </c>
      <c r="F266" s="48">
        <v>80134</v>
      </c>
      <c r="G266" s="57">
        <f t="shared" si="30"/>
        <v>12</v>
      </c>
      <c r="H266" s="57">
        <f t="shared" si="31"/>
        <v>-30</v>
      </c>
      <c r="I266" s="67">
        <f t="shared" ca="1" si="32"/>
        <v>-1</v>
      </c>
      <c r="J266" s="68">
        <f t="shared" ca="1" si="33"/>
        <v>-1</v>
      </c>
      <c r="K266" s="69">
        <f t="shared" ca="1" si="34"/>
        <v>18</v>
      </c>
      <c r="L266" s="42">
        <f t="shared" ca="1" si="35"/>
        <v>-738</v>
      </c>
      <c r="M266" s="62">
        <f t="shared" si="36"/>
        <v>0</v>
      </c>
      <c r="N266" s="40">
        <f ca="1">AVERAGE(M266:OFFSET(M266,-(O$5-1),0))</f>
        <v>0.6</v>
      </c>
      <c r="O266" s="63">
        <f t="shared" ca="1" si="37"/>
        <v>-1</v>
      </c>
      <c r="P266" s="65">
        <f ca="1">AVERAGE(E266:OFFSET(E266,-(Q$5-1),0))</f>
        <v>6804.125</v>
      </c>
      <c r="Q266" s="41">
        <f ca="1">AVERAGE(E266:OFFSET(E266,-(Q$6-1),0))</f>
        <v>6646.4</v>
      </c>
      <c r="R266" s="63">
        <f t="shared" ca="1" si="38"/>
        <v>0</v>
      </c>
    </row>
    <row r="267" spans="1:18">
      <c r="A267" s="46">
        <v>20090604</v>
      </c>
      <c r="B267" s="47">
        <v>6860</v>
      </c>
      <c r="C267" s="47">
        <v>6897</v>
      </c>
      <c r="D267" s="47">
        <v>6696</v>
      </c>
      <c r="E267" s="47">
        <v>6784</v>
      </c>
      <c r="F267" s="48">
        <v>112875</v>
      </c>
      <c r="G267" s="57">
        <f t="shared" si="30"/>
        <v>-38</v>
      </c>
      <c r="H267" s="57">
        <f t="shared" si="31"/>
        <v>-76</v>
      </c>
      <c r="I267" s="67">
        <f t="shared" ca="1" si="32"/>
        <v>0</v>
      </c>
      <c r="J267" s="68">
        <f t="shared" ca="1" si="33"/>
        <v>-1</v>
      </c>
      <c r="K267" s="69">
        <f t="shared" ca="1" si="34"/>
        <v>114</v>
      </c>
      <c r="L267" s="42">
        <f t="shared" ca="1" si="35"/>
        <v>-624</v>
      </c>
      <c r="M267" s="62">
        <f t="shared" si="36"/>
        <v>0</v>
      </c>
      <c r="N267" s="40">
        <f ca="1">AVERAGE(M267:OFFSET(M267,-(O$5-1),0))</f>
        <v>0.5</v>
      </c>
      <c r="O267" s="63">
        <f t="shared" ca="1" si="37"/>
        <v>0</v>
      </c>
      <c r="P267" s="65">
        <f ca="1">AVERAGE(E267:OFFSET(E267,-(Q$5-1),0))</f>
        <v>6818.25</v>
      </c>
      <c r="Q267" s="41">
        <f ca="1">AVERAGE(E267:OFFSET(E267,-(Q$6-1),0))</f>
        <v>6658.5</v>
      </c>
      <c r="R267" s="63">
        <f t="shared" ca="1" si="38"/>
        <v>0</v>
      </c>
    </row>
    <row r="268" spans="1:18">
      <c r="A268" s="46">
        <v>20090605</v>
      </c>
      <c r="B268" s="47">
        <v>6811</v>
      </c>
      <c r="C268" s="47">
        <v>6827</v>
      </c>
      <c r="D268" s="47">
        <v>6735</v>
      </c>
      <c r="E268" s="47">
        <v>6790</v>
      </c>
      <c r="F268" s="48">
        <v>74420</v>
      </c>
      <c r="G268" s="57">
        <f t="shared" si="30"/>
        <v>27</v>
      </c>
      <c r="H268" s="57">
        <f t="shared" si="31"/>
        <v>-21</v>
      </c>
      <c r="I268" s="67">
        <f t="shared" ca="1" si="32"/>
        <v>-1</v>
      </c>
      <c r="J268" s="68">
        <f t="shared" ca="1" si="33"/>
        <v>-1</v>
      </c>
      <c r="K268" s="69">
        <f t="shared" ca="1" si="34"/>
        <v>-6</v>
      </c>
      <c r="L268" s="42">
        <f t="shared" ca="1" si="35"/>
        <v>-630</v>
      </c>
      <c r="M268" s="62">
        <f t="shared" si="36"/>
        <v>1</v>
      </c>
      <c r="N268" s="40">
        <f ca="1">AVERAGE(M268:OFFSET(M268,-(O$5-1),0))</f>
        <v>0.6</v>
      </c>
      <c r="O268" s="63">
        <f t="shared" ca="1" si="37"/>
        <v>-1</v>
      </c>
      <c r="P268" s="65">
        <f ca="1">AVERAGE(E268:OFFSET(E268,-(Q$5-1),0))</f>
        <v>6830.5</v>
      </c>
      <c r="Q268" s="41">
        <f ca="1">AVERAGE(E268:OFFSET(E268,-(Q$6-1),0))</f>
        <v>6671.2</v>
      </c>
      <c r="R268" s="63">
        <f t="shared" ca="1" si="38"/>
        <v>0</v>
      </c>
    </row>
    <row r="269" spans="1:18">
      <c r="A269" s="46">
        <v>20090606</v>
      </c>
      <c r="B269" s="47">
        <v>6777</v>
      </c>
      <c r="C269" s="47">
        <v>6853</v>
      </c>
      <c r="D269" s="47">
        <v>6775</v>
      </c>
      <c r="E269" s="47">
        <v>6833</v>
      </c>
      <c r="F269" s="48">
        <v>39196</v>
      </c>
      <c r="G269" s="57">
        <f t="shared" si="30"/>
        <v>-13</v>
      </c>
      <c r="H269" s="57">
        <f t="shared" si="31"/>
        <v>56</v>
      </c>
      <c r="I269" s="67">
        <f t="shared" ca="1" si="32"/>
        <v>-1</v>
      </c>
      <c r="J269" s="68">
        <f t="shared" ca="1" si="33"/>
        <v>-1</v>
      </c>
      <c r="K269" s="69">
        <f t="shared" ca="1" si="34"/>
        <v>-43</v>
      </c>
      <c r="L269" s="42">
        <f t="shared" ca="1" si="35"/>
        <v>-673</v>
      </c>
      <c r="M269" s="62">
        <f t="shared" si="36"/>
        <v>1</v>
      </c>
      <c r="N269" s="40">
        <f ca="1">AVERAGE(M269:OFFSET(M269,-(O$5-1),0))</f>
        <v>0.6</v>
      </c>
      <c r="O269" s="63">
        <f t="shared" ca="1" si="37"/>
        <v>-1</v>
      </c>
      <c r="P269" s="65">
        <f ca="1">AVERAGE(E269:OFFSET(E269,-(Q$5-1),0))</f>
        <v>6844.125</v>
      </c>
      <c r="Q269" s="41">
        <f ca="1">AVERAGE(E269:OFFSET(E269,-(Q$6-1),0))</f>
        <v>6682.2</v>
      </c>
      <c r="R269" s="63">
        <f t="shared" ca="1" si="38"/>
        <v>0</v>
      </c>
    </row>
    <row r="270" spans="1:18">
      <c r="A270" s="46">
        <v>20090608</v>
      </c>
      <c r="B270" s="47">
        <v>6865</v>
      </c>
      <c r="C270" s="47">
        <v>6884</v>
      </c>
      <c r="D270" s="47">
        <v>6612</v>
      </c>
      <c r="E270" s="47">
        <v>6643</v>
      </c>
      <c r="F270" s="48">
        <v>98319</v>
      </c>
      <c r="G270" s="57">
        <f t="shared" si="30"/>
        <v>32</v>
      </c>
      <c r="H270" s="57">
        <f t="shared" si="31"/>
        <v>-222</v>
      </c>
      <c r="I270" s="67">
        <f t="shared" ca="1" si="32"/>
        <v>0</v>
      </c>
      <c r="J270" s="68">
        <f t="shared" ca="1" si="33"/>
        <v>-1</v>
      </c>
      <c r="K270" s="69">
        <f t="shared" ca="1" si="34"/>
        <v>190</v>
      </c>
      <c r="L270" s="42">
        <f t="shared" ca="1" si="35"/>
        <v>-483</v>
      </c>
      <c r="M270" s="62">
        <f t="shared" si="36"/>
        <v>0</v>
      </c>
      <c r="N270" s="40">
        <f ca="1">AVERAGE(M270:OFFSET(M270,-(O$5-1),0))</f>
        <v>0.5</v>
      </c>
      <c r="O270" s="63">
        <f t="shared" ca="1" si="37"/>
        <v>0</v>
      </c>
      <c r="P270" s="65">
        <f ca="1">AVERAGE(E270:OFFSET(E270,-(Q$5-1),0))</f>
        <v>6843.75</v>
      </c>
      <c r="Q270" s="41">
        <f ca="1">AVERAGE(E270:OFFSET(E270,-(Q$6-1),0))</f>
        <v>6685.75</v>
      </c>
      <c r="R270" s="63">
        <f t="shared" ca="1" si="38"/>
        <v>0</v>
      </c>
    </row>
    <row r="271" spans="1:18">
      <c r="A271" s="46">
        <v>20090609</v>
      </c>
      <c r="B271" s="47">
        <v>6668</v>
      </c>
      <c r="C271" s="47">
        <v>6668</v>
      </c>
      <c r="D271" s="47">
        <v>6390</v>
      </c>
      <c r="E271" s="47">
        <v>6413</v>
      </c>
      <c r="F271" s="48">
        <v>120934</v>
      </c>
      <c r="G271" s="57">
        <f t="shared" si="30"/>
        <v>25</v>
      </c>
      <c r="H271" s="57">
        <f t="shared" si="31"/>
        <v>-255</v>
      </c>
      <c r="I271" s="67">
        <f t="shared" ca="1" si="32"/>
        <v>0</v>
      </c>
      <c r="J271" s="68">
        <f t="shared" ca="1" si="33"/>
        <v>-1</v>
      </c>
      <c r="K271" s="69">
        <f t="shared" ca="1" si="34"/>
        <v>230</v>
      </c>
      <c r="L271" s="42">
        <f t="shared" ca="1" si="35"/>
        <v>-253</v>
      </c>
      <c r="M271" s="62">
        <f t="shared" si="36"/>
        <v>0</v>
      </c>
      <c r="N271" s="40">
        <f ca="1">AVERAGE(M271:OFFSET(M271,-(O$5-1),0))</f>
        <v>0.4</v>
      </c>
      <c r="O271" s="63">
        <f t="shared" ca="1" si="37"/>
        <v>0</v>
      </c>
      <c r="P271" s="65">
        <f ca="1">AVERAGE(E271:OFFSET(E271,-(Q$5-1),0))</f>
        <v>6778.875</v>
      </c>
      <c r="Q271" s="41">
        <f ca="1">AVERAGE(E271:OFFSET(E271,-(Q$6-1),0))</f>
        <v>6676.55</v>
      </c>
      <c r="R271" s="63">
        <f t="shared" ca="1" si="38"/>
        <v>0</v>
      </c>
    </row>
    <row r="272" spans="1:18">
      <c r="A272" s="46">
        <v>20090610</v>
      </c>
      <c r="B272" s="47">
        <v>6458</v>
      </c>
      <c r="C272" s="47">
        <v>6504</v>
      </c>
      <c r="D272" s="47">
        <v>6385</v>
      </c>
      <c r="E272" s="47">
        <v>6459</v>
      </c>
      <c r="F272" s="48">
        <v>91260</v>
      </c>
      <c r="G272" s="57">
        <f t="shared" si="30"/>
        <v>45</v>
      </c>
      <c r="H272" s="57">
        <f t="shared" si="31"/>
        <v>1</v>
      </c>
      <c r="I272" s="67">
        <f t="shared" ca="1" si="32"/>
        <v>0</v>
      </c>
      <c r="J272" s="68">
        <f t="shared" ca="1" si="33"/>
        <v>-1</v>
      </c>
      <c r="K272" s="69">
        <f t="shared" ca="1" si="34"/>
        <v>-46</v>
      </c>
      <c r="L272" s="42">
        <f t="shared" ca="1" si="35"/>
        <v>-299</v>
      </c>
      <c r="M272" s="62">
        <f t="shared" si="36"/>
        <v>1</v>
      </c>
      <c r="N272" s="40">
        <f ca="1">AVERAGE(M272:OFFSET(M272,-(O$5-1),0))</f>
        <v>0.5</v>
      </c>
      <c r="O272" s="63">
        <f t="shared" ca="1" si="37"/>
        <v>0</v>
      </c>
      <c r="P272" s="65">
        <f ca="1">AVERAGE(E272:OFFSET(E272,-(Q$5-1),0))</f>
        <v>6717</v>
      </c>
      <c r="Q272" s="41">
        <f ca="1">AVERAGE(E272:OFFSET(E272,-(Q$6-1),0))</f>
        <v>6677.15</v>
      </c>
      <c r="R272" s="63">
        <f t="shared" ca="1" si="38"/>
        <v>0</v>
      </c>
    </row>
    <row r="273" spans="1:18">
      <c r="A273" s="46">
        <v>20090611</v>
      </c>
      <c r="B273" s="47">
        <v>6490</v>
      </c>
      <c r="C273" s="47">
        <v>6545</v>
      </c>
      <c r="D273" s="47">
        <v>6335</v>
      </c>
      <c r="E273" s="47">
        <v>6516</v>
      </c>
      <c r="F273" s="48">
        <v>122668</v>
      </c>
      <c r="G273" s="57">
        <f t="shared" si="30"/>
        <v>31</v>
      </c>
      <c r="H273" s="57">
        <f t="shared" si="31"/>
        <v>26</v>
      </c>
      <c r="I273" s="67">
        <f t="shared" ca="1" si="32"/>
        <v>-1</v>
      </c>
      <c r="J273" s="68">
        <f t="shared" ca="1" si="33"/>
        <v>-1</v>
      </c>
      <c r="K273" s="69">
        <f t="shared" ca="1" si="34"/>
        <v>-57</v>
      </c>
      <c r="L273" s="42">
        <f t="shared" ca="1" si="35"/>
        <v>-356</v>
      </c>
      <c r="M273" s="62">
        <f t="shared" si="36"/>
        <v>1</v>
      </c>
      <c r="N273" s="40">
        <f ca="1">AVERAGE(M273:OFFSET(M273,-(O$5-1),0))</f>
        <v>0.5</v>
      </c>
      <c r="O273" s="63">
        <f t="shared" ca="1" si="37"/>
        <v>0</v>
      </c>
      <c r="P273" s="65">
        <f ca="1">AVERAGE(E273:OFFSET(E273,-(Q$5-1),0))</f>
        <v>6667</v>
      </c>
      <c r="Q273" s="41">
        <f ca="1">AVERAGE(E273:OFFSET(E273,-(Q$6-1),0))</f>
        <v>6679.5</v>
      </c>
      <c r="R273" s="63">
        <f t="shared" ca="1" si="38"/>
        <v>-1</v>
      </c>
    </row>
    <row r="274" spans="1:18">
      <c r="A274" s="46">
        <v>20090612</v>
      </c>
      <c r="B274" s="47">
        <v>6530</v>
      </c>
      <c r="C274" s="47">
        <v>6558</v>
      </c>
      <c r="D274" s="47">
        <v>6411</v>
      </c>
      <c r="E274" s="47">
        <v>6437</v>
      </c>
      <c r="F274" s="48">
        <v>104854</v>
      </c>
      <c r="G274" s="57">
        <f t="shared" si="30"/>
        <v>14</v>
      </c>
      <c r="H274" s="57">
        <f t="shared" si="31"/>
        <v>-93</v>
      </c>
      <c r="I274" s="67">
        <f t="shared" ca="1" si="32"/>
        <v>0</v>
      </c>
      <c r="J274" s="68">
        <f t="shared" ca="1" si="33"/>
        <v>-1</v>
      </c>
      <c r="K274" s="69">
        <f t="shared" ca="1" si="34"/>
        <v>79</v>
      </c>
      <c r="L274" s="42">
        <f t="shared" ca="1" si="35"/>
        <v>-277</v>
      </c>
      <c r="M274" s="62">
        <f t="shared" si="36"/>
        <v>0</v>
      </c>
      <c r="N274" s="40">
        <f ca="1">AVERAGE(M274:OFFSET(M274,-(O$5-1),0))</f>
        <v>0.4</v>
      </c>
      <c r="O274" s="63">
        <f t="shared" ca="1" si="37"/>
        <v>0</v>
      </c>
      <c r="P274" s="65">
        <f ca="1">AVERAGE(E274:OFFSET(E274,-(Q$5-1),0))</f>
        <v>6609.375</v>
      </c>
      <c r="Q274" s="41">
        <f ca="1">AVERAGE(E274:OFFSET(E274,-(Q$6-1),0))</f>
        <v>6685.3</v>
      </c>
      <c r="R274" s="63">
        <f t="shared" ca="1" si="38"/>
        <v>0</v>
      </c>
    </row>
    <row r="275" spans="1:18">
      <c r="A275" s="46">
        <v>20090615</v>
      </c>
      <c r="B275" s="47">
        <v>6390</v>
      </c>
      <c r="C275" s="47">
        <v>6390</v>
      </c>
      <c r="D275" s="47">
        <v>6174</v>
      </c>
      <c r="E275" s="47">
        <v>6208</v>
      </c>
      <c r="F275" s="48">
        <v>115650</v>
      </c>
      <c r="G275" s="57">
        <f t="shared" si="30"/>
        <v>-47</v>
      </c>
      <c r="H275" s="57">
        <f t="shared" si="31"/>
        <v>-182</v>
      </c>
      <c r="I275" s="67">
        <f t="shared" ca="1" si="32"/>
        <v>0</v>
      </c>
      <c r="J275" s="68">
        <f t="shared" ca="1" si="33"/>
        <v>-1</v>
      </c>
      <c r="K275" s="69">
        <f t="shared" ca="1" si="34"/>
        <v>229</v>
      </c>
      <c r="L275" s="42">
        <f t="shared" ca="1" si="35"/>
        <v>-48</v>
      </c>
      <c r="M275" s="62">
        <f t="shared" si="36"/>
        <v>0</v>
      </c>
      <c r="N275" s="40">
        <f ca="1">AVERAGE(M275:OFFSET(M275,-(O$5-1),0))</f>
        <v>0.4</v>
      </c>
      <c r="O275" s="63">
        <f t="shared" ca="1" si="37"/>
        <v>0</v>
      </c>
      <c r="P275" s="65">
        <f ca="1">AVERAGE(E275:OFFSET(E275,-(Q$5-1),0))</f>
        <v>6537.375</v>
      </c>
      <c r="Q275" s="41">
        <f ca="1">AVERAGE(E275:OFFSET(E275,-(Q$6-1),0))</f>
        <v>6671.9</v>
      </c>
      <c r="R275" s="63">
        <f t="shared" ca="1" si="38"/>
        <v>0</v>
      </c>
    </row>
    <row r="276" spans="1:18">
      <c r="A276" s="46">
        <v>20090616</v>
      </c>
      <c r="B276" s="47">
        <v>6173</v>
      </c>
      <c r="C276" s="47">
        <v>6251</v>
      </c>
      <c r="D276" s="47">
        <v>6133</v>
      </c>
      <c r="E276" s="47">
        <v>6208</v>
      </c>
      <c r="F276" s="48">
        <v>98988</v>
      </c>
      <c r="G276" s="57">
        <f t="shared" si="30"/>
        <v>-35</v>
      </c>
      <c r="H276" s="57">
        <f t="shared" si="31"/>
        <v>35</v>
      </c>
      <c r="I276" s="67">
        <f t="shared" ca="1" si="32"/>
        <v>0</v>
      </c>
      <c r="J276" s="68">
        <f t="shared" ca="1" si="33"/>
        <v>-1</v>
      </c>
      <c r="K276" s="69">
        <f t="shared" ca="1" si="34"/>
        <v>0</v>
      </c>
      <c r="L276" s="42">
        <f t="shared" ca="1" si="35"/>
        <v>-48</v>
      </c>
      <c r="M276" s="62">
        <f t="shared" si="36"/>
        <v>0</v>
      </c>
      <c r="N276" s="40">
        <f ca="1">AVERAGE(M276:OFFSET(M276,-(O$5-1),0))</f>
        <v>0.4</v>
      </c>
      <c r="O276" s="63">
        <f t="shared" ca="1" si="37"/>
        <v>0</v>
      </c>
      <c r="P276" s="65">
        <f ca="1">AVERAGE(E276:OFFSET(E276,-(Q$5-1),0))</f>
        <v>6464.625</v>
      </c>
      <c r="Q276" s="41">
        <f ca="1">AVERAGE(E276:OFFSET(E276,-(Q$6-1),0))</f>
        <v>6654.25</v>
      </c>
      <c r="R276" s="63">
        <f t="shared" ca="1" si="38"/>
        <v>0</v>
      </c>
    </row>
    <row r="277" spans="1:18">
      <c r="A277" s="46">
        <v>20090617</v>
      </c>
      <c r="B277" s="47">
        <v>6170</v>
      </c>
      <c r="C277" s="47">
        <v>6211</v>
      </c>
      <c r="D277" s="47">
        <v>6106</v>
      </c>
      <c r="E277" s="47">
        <v>6142</v>
      </c>
      <c r="F277" s="48">
        <v>45281</v>
      </c>
      <c r="G277" s="57">
        <f t="shared" si="30"/>
        <v>-38</v>
      </c>
      <c r="H277" s="57">
        <f t="shared" si="31"/>
        <v>-28</v>
      </c>
      <c r="I277" s="67">
        <f t="shared" ca="1" si="32"/>
        <v>0</v>
      </c>
      <c r="J277" s="68">
        <f t="shared" ca="1" si="33"/>
        <v>-1</v>
      </c>
      <c r="K277" s="69">
        <f t="shared" ca="1" si="34"/>
        <v>66</v>
      </c>
      <c r="L277" s="42">
        <f t="shared" ca="1" si="35"/>
        <v>18</v>
      </c>
      <c r="M277" s="62">
        <f t="shared" si="36"/>
        <v>0</v>
      </c>
      <c r="N277" s="40">
        <f ca="1">AVERAGE(M277:OFFSET(M277,-(O$5-1),0))</f>
        <v>0.4</v>
      </c>
      <c r="O277" s="63">
        <f t="shared" ca="1" si="37"/>
        <v>0</v>
      </c>
      <c r="P277" s="65">
        <f ca="1">AVERAGE(E277:OFFSET(E277,-(Q$5-1),0))</f>
        <v>6378.25</v>
      </c>
      <c r="Q277" s="41">
        <f ca="1">AVERAGE(E277:OFFSET(E277,-(Q$6-1),0))</f>
        <v>6626.7</v>
      </c>
      <c r="R277" s="63">
        <f t="shared" ca="1" si="38"/>
        <v>0</v>
      </c>
    </row>
    <row r="278" spans="1:18">
      <c r="A278" s="46">
        <v>20090618</v>
      </c>
      <c r="B278" s="47">
        <v>6130</v>
      </c>
      <c r="C278" s="47">
        <v>6205</v>
      </c>
      <c r="D278" s="47">
        <v>5994</v>
      </c>
      <c r="E278" s="47">
        <v>6090</v>
      </c>
      <c r="F278" s="48">
        <v>124089</v>
      </c>
      <c r="G278" s="57">
        <f t="shared" si="30"/>
        <v>-12</v>
      </c>
      <c r="H278" s="57">
        <f t="shared" si="31"/>
        <v>-40</v>
      </c>
      <c r="I278" s="67">
        <f t="shared" ca="1" si="32"/>
        <v>0</v>
      </c>
      <c r="J278" s="68">
        <f t="shared" ca="1" si="33"/>
        <v>-1</v>
      </c>
      <c r="K278" s="69">
        <f t="shared" ca="1" si="34"/>
        <v>52</v>
      </c>
      <c r="L278" s="42">
        <f t="shared" ca="1" si="35"/>
        <v>70</v>
      </c>
      <c r="M278" s="62">
        <f t="shared" si="36"/>
        <v>0</v>
      </c>
      <c r="N278" s="40">
        <f ca="1">AVERAGE(M278:OFFSET(M278,-(O$5-1),0))</f>
        <v>0.3</v>
      </c>
      <c r="O278" s="63">
        <f t="shared" ca="1" si="37"/>
        <v>0</v>
      </c>
      <c r="P278" s="65">
        <f ca="1">AVERAGE(E278:OFFSET(E278,-(Q$5-1),0))</f>
        <v>6309.125</v>
      </c>
      <c r="Q278" s="41">
        <f ca="1">AVERAGE(E278:OFFSET(E278,-(Q$6-1),0))</f>
        <v>6597.8</v>
      </c>
      <c r="R278" s="63">
        <f t="shared" ca="1" si="38"/>
        <v>0</v>
      </c>
    </row>
    <row r="279" spans="1:18">
      <c r="A279" s="46">
        <v>20090619</v>
      </c>
      <c r="B279" s="47">
        <v>6090</v>
      </c>
      <c r="C279" s="47">
        <v>6150</v>
      </c>
      <c r="D279" s="47">
        <v>6045</v>
      </c>
      <c r="E279" s="47">
        <v>6138</v>
      </c>
      <c r="F279" s="48">
        <v>91410</v>
      </c>
      <c r="G279" s="57">
        <f t="shared" si="30"/>
        <v>0</v>
      </c>
      <c r="H279" s="57">
        <f t="shared" si="31"/>
        <v>48</v>
      </c>
      <c r="I279" s="67">
        <f t="shared" ca="1" si="32"/>
        <v>0</v>
      </c>
      <c r="J279" s="68">
        <f t="shared" ca="1" si="33"/>
        <v>-1</v>
      </c>
      <c r="K279" s="69">
        <f t="shared" ca="1" si="34"/>
        <v>-48</v>
      </c>
      <c r="L279" s="42">
        <f t="shared" ca="1" si="35"/>
        <v>22</v>
      </c>
      <c r="M279" s="62">
        <f t="shared" si="36"/>
        <v>1</v>
      </c>
      <c r="N279" s="40">
        <f ca="1">AVERAGE(M279:OFFSET(M279,-(O$5-1),0))</f>
        <v>0.3</v>
      </c>
      <c r="O279" s="63">
        <f t="shared" ca="1" si="37"/>
        <v>0</v>
      </c>
      <c r="P279" s="65">
        <f ca="1">AVERAGE(E279:OFFSET(E279,-(Q$5-1),0))</f>
        <v>6274.75</v>
      </c>
      <c r="Q279" s="41">
        <f ca="1">AVERAGE(E279:OFFSET(E279,-(Q$6-1),0))</f>
        <v>6571.15</v>
      </c>
      <c r="R279" s="63">
        <f t="shared" ca="1" si="38"/>
        <v>0</v>
      </c>
    </row>
    <row r="280" spans="1:18">
      <c r="A280" s="46">
        <v>20090622</v>
      </c>
      <c r="B280" s="47">
        <v>6137</v>
      </c>
      <c r="C280" s="47">
        <v>6264</v>
      </c>
      <c r="D280" s="47">
        <v>6075</v>
      </c>
      <c r="E280" s="47">
        <v>6206</v>
      </c>
      <c r="F280" s="48">
        <v>96798</v>
      </c>
      <c r="G280" s="57">
        <f t="shared" si="30"/>
        <v>-1</v>
      </c>
      <c r="H280" s="57">
        <f t="shared" si="31"/>
        <v>69</v>
      </c>
      <c r="I280" s="67">
        <f t="shared" ca="1" si="32"/>
        <v>0</v>
      </c>
      <c r="J280" s="68">
        <f t="shared" ca="1" si="33"/>
        <v>-1</v>
      </c>
      <c r="K280" s="69">
        <f t="shared" ca="1" si="34"/>
        <v>-68</v>
      </c>
      <c r="L280" s="42">
        <f t="shared" ca="1" si="35"/>
        <v>-46</v>
      </c>
      <c r="M280" s="62">
        <f t="shared" si="36"/>
        <v>1</v>
      </c>
      <c r="N280" s="40">
        <f ca="1">AVERAGE(M280:OFFSET(M280,-(O$5-1),0))</f>
        <v>0.4</v>
      </c>
      <c r="O280" s="63">
        <f t="shared" ca="1" si="37"/>
        <v>0</v>
      </c>
      <c r="P280" s="65">
        <f ca="1">AVERAGE(E280:OFFSET(E280,-(Q$5-1),0))</f>
        <v>6243.125</v>
      </c>
      <c r="Q280" s="41">
        <f ca="1">AVERAGE(E280:OFFSET(E280,-(Q$6-1),0))</f>
        <v>6546.85</v>
      </c>
      <c r="R280" s="63">
        <f t="shared" ca="1" si="38"/>
        <v>0</v>
      </c>
    </row>
    <row r="281" spans="1:18">
      <c r="A281" s="46">
        <v>20090623</v>
      </c>
      <c r="B281" s="47">
        <v>6088</v>
      </c>
      <c r="C281" s="47">
        <v>6150</v>
      </c>
      <c r="D281" s="47">
        <v>6059</v>
      </c>
      <c r="E281" s="47">
        <v>6072</v>
      </c>
      <c r="F281" s="48">
        <v>83086</v>
      </c>
      <c r="G281" s="57">
        <f t="shared" ref="G281:G302" si="39">B281-E280</f>
        <v>-118</v>
      </c>
      <c r="H281" s="57">
        <f t="shared" ref="H281:H302" si="40">E281-B281</f>
        <v>-16</v>
      </c>
      <c r="I281" s="67">
        <f t="shared" ref="I281:I302" ca="1" si="41">IF(OR(O281=1,R281=1),1,IF(OR(O281=-1,R281=-1),-1,0))</f>
        <v>0</v>
      </c>
      <c r="J281" s="68">
        <f t="shared" ref="J281:J302" ca="1" si="42">IF((J280+I280)&gt;=J$5, J$5, IF((J280+I280)&lt;=J$7, J$7, J280+I280))</f>
        <v>-1</v>
      </c>
      <c r="K281" s="69">
        <f t="shared" ref="K281:K302" ca="1" si="43">J280*(G281+H281)+(J281-J280)*H281</f>
        <v>134</v>
      </c>
      <c r="L281" s="42">
        <f t="shared" ref="L281:L302" ca="1" si="44">L280+K281</f>
        <v>88</v>
      </c>
      <c r="M281" s="62">
        <f t="shared" ref="M281:M302" si="45">IF(E281&gt;E280,1,0)</f>
        <v>0</v>
      </c>
      <c r="N281" s="40">
        <f ca="1">AVERAGE(M281:OFFSET(M281,-(O$5-1),0))</f>
        <v>0.4</v>
      </c>
      <c r="O281" s="63">
        <f t="shared" ref="O281:O302" ca="1" si="46">IF(N281&lt;=O$6, 1, IF(N281&gt;=O$7,-1, 0))</f>
        <v>0</v>
      </c>
      <c r="P281" s="65">
        <f ca="1">AVERAGE(E281:OFFSET(E281,-(Q$5-1),0))</f>
        <v>6187.625</v>
      </c>
      <c r="Q281" s="41">
        <f ca="1">AVERAGE(E281:OFFSET(E281,-(Q$6-1),0))</f>
        <v>6514.25</v>
      </c>
      <c r="R281" s="63">
        <f t="shared" ref="R281:R302" ca="1" si="47">IF(AND(P280&lt;=Q280,P281&gt;Q281),1,IF(AND(P280&gt;=Q280,P281&lt;Q281),-1,0))</f>
        <v>0</v>
      </c>
    </row>
    <row r="282" spans="1:18">
      <c r="A282" s="46">
        <v>20090624</v>
      </c>
      <c r="B282" s="47">
        <v>6089</v>
      </c>
      <c r="C282" s="47">
        <v>6494</v>
      </c>
      <c r="D282" s="47">
        <v>6073</v>
      </c>
      <c r="E282" s="47">
        <v>6311</v>
      </c>
      <c r="F282" s="48">
        <v>143028</v>
      </c>
      <c r="G282" s="57">
        <f t="shared" si="39"/>
        <v>17</v>
      </c>
      <c r="H282" s="57">
        <f t="shared" si="40"/>
        <v>222</v>
      </c>
      <c r="I282" s="67">
        <f t="shared" ca="1" si="41"/>
        <v>0</v>
      </c>
      <c r="J282" s="68">
        <f t="shared" ca="1" si="42"/>
        <v>-1</v>
      </c>
      <c r="K282" s="69">
        <f t="shared" ca="1" si="43"/>
        <v>-239</v>
      </c>
      <c r="L282" s="42">
        <f t="shared" ca="1" si="44"/>
        <v>-151</v>
      </c>
      <c r="M282" s="62">
        <f t="shared" si="45"/>
        <v>1</v>
      </c>
      <c r="N282" s="40">
        <f ca="1">AVERAGE(M282:OFFSET(M282,-(O$5-1),0))</f>
        <v>0.4</v>
      </c>
      <c r="O282" s="63">
        <f t="shared" ca="1" si="46"/>
        <v>0</v>
      </c>
      <c r="P282" s="65">
        <f ca="1">AVERAGE(E282:OFFSET(E282,-(Q$5-1),0))</f>
        <v>6171.875</v>
      </c>
      <c r="Q282" s="41">
        <f ca="1">AVERAGE(E282:OFFSET(E282,-(Q$6-1),0))</f>
        <v>6497.5</v>
      </c>
      <c r="R282" s="63">
        <f t="shared" ca="1" si="47"/>
        <v>0</v>
      </c>
    </row>
    <row r="283" spans="1:18">
      <c r="A283" s="46">
        <v>20090625</v>
      </c>
      <c r="B283" s="47">
        <v>6306</v>
      </c>
      <c r="C283" s="47">
        <v>6427</v>
      </c>
      <c r="D283" s="47">
        <v>6295</v>
      </c>
      <c r="E283" s="47">
        <v>6389</v>
      </c>
      <c r="F283" s="48">
        <v>101697</v>
      </c>
      <c r="G283" s="57">
        <f t="shared" si="39"/>
        <v>-5</v>
      </c>
      <c r="H283" s="57">
        <f t="shared" si="40"/>
        <v>83</v>
      </c>
      <c r="I283" s="67">
        <f t="shared" ca="1" si="41"/>
        <v>0</v>
      </c>
      <c r="J283" s="68">
        <f t="shared" ca="1" si="42"/>
        <v>-1</v>
      </c>
      <c r="K283" s="69">
        <f t="shared" ca="1" si="43"/>
        <v>-78</v>
      </c>
      <c r="L283" s="42">
        <f t="shared" ca="1" si="44"/>
        <v>-229</v>
      </c>
      <c r="M283" s="62">
        <f t="shared" si="45"/>
        <v>1</v>
      </c>
      <c r="N283" s="40">
        <f ca="1">AVERAGE(M283:OFFSET(M283,-(O$5-1),0))</f>
        <v>0.4</v>
      </c>
      <c r="O283" s="63">
        <f t="shared" ca="1" si="46"/>
        <v>0</v>
      </c>
      <c r="P283" s="65">
        <f ca="1">AVERAGE(E283:OFFSET(E283,-(Q$5-1),0))</f>
        <v>6194.5</v>
      </c>
      <c r="Q283" s="41">
        <f ca="1">AVERAGE(E283:OFFSET(E283,-(Q$6-1),0))</f>
        <v>6470.35</v>
      </c>
      <c r="R283" s="63">
        <f t="shared" ca="1" si="47"/>
        <v>0</v>
      </c>
    </row>
    <row r="284" spans="1:18">
      <c r="A284" s="46">
        <v>20090626</v>
      </c>
      <c r="B284" s="47">
        <v>6405</v>
      </c>
      <c r="C284" s="47">
        <v>6432</v>
      </c>
      <c r="D284" s="47">
        <v>6361</v>
      </c>
      <c r="E284" s="47">
        <v>6391</v>
      </c>
      <c r="F284" s="48">
        <v>76133</v>
      </c>
      <c r="G284" s="57">
        <f t="shared" si="39"/>
        <v>16</v>
      </c>
      <c r="H284" s="57">
        <f t="shared" si="40"/>
        <v>-14</v>
      </c>
      <c r="I284" s="67">
        <f t="shared" ca="1" si="41"/>
        <v>0</v>
      </c>
      <c r="J284" s="68">
        <f t="shared" ca="1" si="42"/>
        <v>-1</v>
      </c>
      <c r="K284" s="69">
        <f t="shared" ca="1" si="43"/>
        <v>-2</v>
      </c>
      <c r="L284" s="42">
        <f t="shared" ca="1" si="44"/>
        <v>-231</v>
      </c>
      <c r="M284" s="62">
        <f t="shared" si="45"/>
        <v>1</v>
      </c>
      <c r="N284" s="40">
        <f ca="1">AVERAGE(M284:OFFSET(M284,-(O$5-1),0))</f>
        <v>0.5</v>
      </c>
      <c r="O284" s="63">
        <f t="shared" ca="1" si="46"/>
        <v>0</v>
      </c>
      <c r="P284" s="65">
        <f ca="1">AVERAGE(E284:OFFSET(E284,-(Q$5-1),0))</f>
        <v>6217.375</v>
      </c>
      <c r="Q284" s="41">
        <f ca="1">AVERAGE(E284:OFFSET(E284,-(Q$6-1),0))</f>
        <v>6442.2</v>
      </c>
      <c r="R284" s="63">
        <f t="shared" ca="1" si="47"/>
        <v>0</v>
      </c>
    </row>
    <row r="285" spans="1:18">
      <c r="A285" s="46">
        <v>20090629</v>
      </c>
      <c r="B285" s="47">
        <v>6415</v>
      </c>
      <c r="C285" s="47">
        <v>6436</v>
      </c>
      <c r="D285" s="47">
        <v>6305</v>
      </c>
      <c r="E285" s="47">
        <v>6345</v>
      </c>
      <c r="F285" s="48">
        <v>92593</v>
      </c>
      <c r="G285" s="57">
        <f t="shared" si="39"/>
        <v>24</v>
      </c>
      <c r="H285" s="57">
        <f t="shared" si="40"/>
        <v>-70</v>
      </c>
      <c r="I285" s="67">
        <f t="shared" ca="1" si="41"/>
        <v>0</v>
      </c>
      <c r="J285" s="68">
        <f t="shared" ca="1" si="42"/>
        <v>-1</v>
      </c>
      <c r="K285" s="69">
        <f t="shared" ca="1" si="43"/>
        <v>46</v>
      </c>
      <c r="L285" s="42">
        <f t="shared" ca="1" si="44"/>
        <v>-185</v>
      </c>
      <c r="M285" s="62">
        <f t="shared" si="45"/>
        <v>0</v>
      </c>
      <c r="N285" s="40">
        <f ca="1">AVERAGE(M285:OFFSET(M285,-(O$5-1),0))</f>
        <v>0.5</v>
      </c>
      <c r="O285" s="63">
        <f t="shared" ca="1" si="46"/>
        <v>0</v>
      </c>
      <c r="P285" s="65">
        <f ca="1">AVERAGE(E285:OFFSET(E285,-(Q$5-1),0))</f>
        <v>6242.75</v>
      </c>
      <c r="Q285" s="41">
        <f ca="1">AVERAGE(E285:OFFSET(E285,-(Q$6-1),0))</f>
        <v>6413.65</v>
      </c>
      <c r="R285" s="63">
        <f t="shared" ca="1" si="47"/>
        <v>0</v>
      </c>
    </row>
    <row r="286" spans="1:18">
      <c r="A286" s="46">
        <v>20090630</v>
      </c>
      <c r="B286" s="47">
        <v>6421</v>
      </c>
      <c r="C286" s="47">
        <v>6450</v>
      </c>
      <c r="D286" s="47">
        <v>6301</v>
      </c>
      <c r="E286" s="47">
        <v>6383</v>
      </c>
      <c r="F286" s="48">
        <v>97549</v>
      </c>
      <c r="G286" s="57">
        <f t="shared" si="39"/>
        <v>76</v>
      </c>
      <c r="H286" s="57">
        <f t="shared" si="40"/>
        <v>-38</v>
      </c>
      <c r="I286" s="67">
        <f t="shared" ca="1" si="41"/>
        <v>-1</v>
      </c>
      <c r="J286" s="68">
        <f t="shared" ca="1" si="42"/>
        <v>-1</v>
      </c>
      <c r="K286" s="69">
        <f t="shared" ca="1" si="43"/>
        <v>-38</v>
      </c>
      <c r="L286" s="42">
        <f t="shared" ca="1" si="44"/>
        <v>-223</v>
      </c>
      <c r="M286" s="62">
        <f t="shared" si="45"/>
        <v>1</v>
      </c>
      <c r="N286" s="40">
        <f ca="1">AVERAGE(M286:OFFSET(M286,-(O$5-1),0))</f>
        <v>0.6</v>
      </c>
      <c r="O286" s="63">
        <f t="shared" ca="1" si="46"/>
        <v>-1</v>
      </c>
      <c r="P286" s="65">
        <f ca="1">AVERAGE(E286:OFFSET(E286,-(Q$5-1),0))</f>
        <v>6279.375</v>
      </c>
      <c r="Q286" s="41">
        <f ca="1">AVERAGE(E286:OFFSET(E286,-(Q$6-1),0))</f>
        <v>6387.9</v>
      </c>
      <c r="R286" s="63">
        <f t="shared" ca="1" si="47"/>
        <v>0</v>
      </c>
    </row>
    <row r="287" spans="1:18">
      <c r="A287" s="46">
        <v>20090701</v>
      </c>
      <c r="B287" s="47">
        <v>6414</v>
      </c>
      <c r="C287" s="47">
        <v>6546</v>
      </c>
      <c r="D287" s="47">
        <v>6361</v>
      </c>
      <c r="E287" s="47">
        <v>6517</v>
      </c>
      <c r="F287" s="48">
        <v>108188</v>
      </c>
      <c r="G287" s="57">
        <f t="shared" si="39"/>
        <v>31</v>
      </c>
      <c r="H287" s="57">
        <f t="shared" si="40"/>
        <v>103</v>
      </c>
      <c r="I287" s="67">
        <f t="shared" ca="1" si="41"/>
        <v>-1</v>
      </c>
      <c r="J287" s="68">
        <f t="shared" ca="1" si="42"/>
        <v>-1</v>
      </c>
      <c r="K287" s="69">
        <f t="shared" ca="1" si="43"/>
        <v>-134</v>
      </c>
      <c r="L287" s="42">
        <f t="shared" ca="1" si="44"/>
        <v>-357</v>
      </c>
      <c r="M287" s="62">
        <f t="shared" si="45"/>
        <v>1</v>
      </c>
      <c r="N287" s="40">
        <f ca="1">AVERAGE(M287:OFFSET(M287,-(O$5-1),0))</f>
        <v>0.7</v>
      </c>
      <c r="O287" s="63">
        <f t="shared" ca="1" si="46"/>
        <v>-1</v>
      </c>
      <c r="P287" s="65">
        <f ca="1">AVERAGE(E287:OFFSET(E287,-(Q$5-1),0))</f>
        <v>6326.75</v>
      </c>
      <c r="Q287" s="41">
        <f ca="1">AVERAGE(E287:OFFSET(E287,-(Q$6-1),0))</f>
        <v>6374.55</v>
      </c>
      <c r="R287" s="63">
        <f t="shared" ca="1" si="47"/>
        <v>0</v>
      </c>
    </row>
    <row r="288" spans="1:18">
      <c r="A288" s="46">
        <v>20090702</v>
      </c>
      <c r="B288" s="47">
        <v>6525</v>
      </c>
      <c r="C288" s="47">
        <v>6626</v>
      </c>
      <c r="D288" s="47">
        <v>6517</v>
      </c>
      <c r="E288" s="47">
        <v>6590</v>
      </c>
      <c r="F288" s="48">
        <v>96176</v>
      </c>
      <c r="G288" s="57">
        <f t="shared" si="39"/>
        <v>8</v>
      </c>
      <c r="H288" s="57">
        <f t="shared" si="40"/>
        <v>65</v>
      </c>
      <c r="I288" s="67">
        <f t="shared" ca="1" si="41"/>
        <v>1</v>
      </c>
      <c r="J288" s="68">
        <f t="shared" ca="1" si="42"/>
        <v>-1</v>
      </c>
      <c r="K288" s="69">
        <f t="shared" ca="1" si="43"/>
        <v>-73</v>
      </c>
      <c r="L288" s="42">
        <f t="shared" ca="1" si="44"/>
        <v>-430</v>
      </c>
      <c r="M288" s="62">
        <f t="shared" si="45"/>
        <v>1</v>
      </c>
      <c r="N288" s="40">
        <f ca="1">AVERAGE(M288:OFFSET(M288,-(O$5-1),0))</f>
        <v>0.8</v>
      </c>
      <c r="O288" s="63">
        <f t="shared" ca="1" si="46"/>
        <v>-1</v>
      </c>
      <c r="P288" s="65">
        <f ca="1">AVERAGE(E288:OFFSET(E288,-(Q$5-1),0))</f>
        <v>6374.75</v>
      </c>
      <c r="Q288" s="41">
        <f ca="1">AVERAGE(E288:OFFSET(E288,-(Q$6-1),0))</f>
        <v>6364.55</v>
      </c>
      <c r="R288" s="63">
        <f t="shared" ca="1" si="47"/>
        <v>1</v>
      </c>
    </row>
    <row r="289" spans="1:18">
      <c r="A289" s="46">
        <v>20090703</v>
      </c>
      <c r="B289" s="47">
        <v>6547</v>
      </c>
      <c r="C289" s="47">
        <v>6633</v>
      </c>
      <c r="D289" s="47">
        <v>6520</v>
      </c>
      <c r="E289" s="47">
        <v>6602</v>
      </c>
      <c r="F289" s="48">
        <v>91558</v>
      </c>
      <c r="G289" s="57">
        <f t="shared" si="39"/>
        <v>-43</v>
      </c>
      <c r="H289" s="57">
        <f t="shared" si="40"/>
        <v>55</v>
      </c>
      <c r="I289" s="67">
        <f t="shared" ca="1" si="41"/>
        <v>-1</v>
      </c>
      <c r="J289" s="68">
        <f t="shared" ca="1" si="42"/>
        <v>0</v>
      </c>
      <c r="K289" s="69">
        <f t="shared" ca="1" si="43"/>
        <v>43</v>
      </c>
      <c r="L289" s="42">
        <f t="shared" ca="1" si="44"/>
        <v>-387</v>
      </c>
      <c r="M289" s="62">
        <f t="shared" si="45"/>
        <v>1</v>
      </c>
      <c r="N289" s="40">
        <f ca="1">AVERAGE(M289:OFFSET(M289,-(O$5-1),0))</f>
        <v>0.8</v>
      </c>
      <c r="O289" s="63">
        <f t="shared" ca="1" si="46"/>
        <v>-1</v>
      </c>
      <c r="P289" s="65">
        <f ca="1">AVERAGE(E289:OFFSET(E289,-(Q$5-1),0))</f>
        <v>6441</v>
      </c>
      <c r="Q289" s="41">
        <f ca="1">AVERAGE(E289:OFFSET(E289,-(Q$6-1),0))</f>
        <v>6353</v>
      </c>
      <c r="R289" s="63">
        <f t="shared" ca="1" si="47"/>
        <v>0</v>
      </c>
    </row>
    <row r="290" spans="1:18">
      <c r="A290" s="46">
        <v>20090706</v>
      </c>
      <c r="B290" s="47">
        <v>6619</v>
      </c>
      <c r="C290" s="47">
        <v>6631</v>
      </c>
      <c r="D290" s="47">
        <v>6527</v>
      </c>
      <c r="E290" s="47">
        <v>6588</v>
      </c>
      <c r="F290" s="48">
        <v>90726</v>
      </c>
      <c r="G290" s="57">
        <f t="shared" si="39"/>
        <v>17</v>
      </c>
      <c r="H290" s="57">
        <f t="shared" si="40"/>
        <v>-31</v>
      </c>
      <c r="I290" s="67">
        <f t="shared" ca="1" si="41"/>
        <v>-1</v>
      </c>
      <c r="J290" s="68">
        <f t="shared" ca="1" si="42"/>
        <v>-1</v>
      </c>
      <c r="K290" s="69">
        <f t="shared" ca="1" si="43"/>
        <v>31</v>
      </c>
      <c r="L290" s="42">
        <f t="shared" ca="1" si="44"/>
        <v>-356</v>
      </c>
      <c r="M290" s="62">
        <f t="shared" si="45"/>
        <v>0</v>
      </c>
      <c r="N290" s="40">
        <f ca="1">AVERAGE(M290:OFFSET(M290,-(O$5-1),0))</f>
        <v>0.7</v>
      </c>
      <c r="O290" s="63">
        <f t="shared" ca="1" si="46"/>
        <v>-1</v>
      </c>
      <c r="P290" s="65">
        <f ca="1">AVERAGE(E290:OFFSET(E290,-(Q$5-1),0))</f>
        <v>6475.625</v>
      </c>
      <c r="Q290" s="41">
        <f ca="1">AVERAGE(E290:OFFSET(E290,-(Q$6-1),0))</f>
        <v>6350.25</v>
      </c>
      <c r="R290" s="63">
        <f t="shared" ca="1" si="47"/>
        <v>0</v>
      </c>
    </row>
    <row r="291" spans="1:18">
      <c r="A291" s="46">
        <v>20090707</v>
      </c>
      <c r="B291" s="47">
        <v>6588</v>
      </c>
      <c r="C291" s="47">
        <v>6710</v>
      </c>
      <c r="D291" s="47">
        <v>6578</v>
      </c>
      <c r="E291" s="47">
        <v>6665</v>
      </c>
      <c r="F291" s="48">
        <v>97559</v>
      </c>
      <c r="G291" s="57">
        <f t="shared" si="39"/>
        <v>0</v>
      </c>
      <c r="H291" s="57">
        <f t="shared" si="40"/>
        <v>77</v>
      </c>
      <c r="I291" s="67">
        <f t="shared" ca="1" si="41"/>
        <v>-1</v>
      </c>
      <c r="J291" s="68">
        <f t="shared" ca="1" si="42"/>
        <v>-1</v>
      </c>
      <c r="K291" s="69">
        <f t="shared" ca="1" si="43"/>
        <v>-77</v>
      </c>
      <c r="L291" s="42">
        <f t="shared" ca="1" si="44"/>
        <v>-433</v>
      </c>
      <c r="M291" s="62">
        <f t="shared" si="45"/>
        <v>1</v>
      </c>
      <c r="N291" s="40">
        <f ca="1">AVERAGE(M291:OFFSET(M291,-(O$5-1),0))</f>
        <v>0.8</v>
      </c>
      <c r="O291" s="63">
        <f t="shared" ca="1" si="46"/>
        <v>-1</v>
      </c>
      <c r="P291" s="65">
        <f ca="1">AVERAGE(E291:OFFSET(E291,-(Q$5-1),0))</f>
        <v>6510.125</v>
      </c>
      <c r="Q291" s="41">
        <f ca="1">AVERAGE(E291:OFFSET(E291,-(Q$6-1),0))</f>
        <v>6362.85</v>
      </c>
      <c r="R291" s="63">
        <f t="shared" ca="1" si="47"/>
        <v>0</v>
      </c>
    </row>
    <row r="292" spans="1:18">
      <c r="A292" s="46">
        <v>20090708</v>
      </c>
      <c r="B292" s="47">
        <v>6621</v>
      </c>
      <c r="C292" s="47">
        <v>6637</v>
      </c>
      <c r="D292" s="47">
        <v>6558</v>
      </c>
      <c r="E292" s="47">
        <v>6627</v>
      </c>
      <c r="F292" s="48">
        <v>92427</v>
      </c>
      <c r="G292" s="57">
        <f t="shared" si="39"/>
        <v>-44</v>
      </c>
      <c r="H292" s="57">
        <f t="shared" si="40"/>
        <v>6</v>
      </c>
      <c r="I292" s="67">
        <f t="shared" ca="1" si="41"/>
        <v>-1</v>
      </c>
      <c r="J292" s="68">
        <f t="shared" ca="1" si="42"/>
        <v>-1</v>
      </c>
      <c r="K292" s="69">
        <f t="shared" ca="1" si="43"/>
        <v>38</v>
      </c>
      <c r="L292" s="42">
        <f t="shared" ca="1" si="44"/>
        <v>-395</v>
      </c>
      <c r="M292" s="62">
        <f t="shared" si="45"/>
        <v>0</v>
      </c>
      <c r="N292" s="40">
        <f ca="1">AVERAGE(M292:OFFSET(M292,-(O$5-1),0))</f>
        <v>0.7</v>
      </c>
      <c r="O292" s="63">
        <f t="shared" ca="1" si="46"/>
        <v>-1</v>
      </c>
      <c r="P292" s="65">
        <f ca="1">AVERAGE(E292:OFFSET(E292,-(Q$5-1),0))</f>
        <v>6539.625</v>
      </c>
      <c r="Q292" s="41">
        <f ca="1">AVERAGE(E292:OFFSET(E292,-(Q$6-1),0))</f>
        <v>6371.25</v>
      </c>
      <c r="R292" s="63">
        <f t="shared" ca="1" si="47"/>
        <v>0</v>
      </c>
    </row>
    <row r="293" spans="1:18">
      <c r="A293" s="46">
        <v>20090709</v>
      </c>
      <c r="B293" s="47">
        <v>6627</v>
      </c>
      <c r="C293" s="47">
        <v>6778</v>
      </c>
      <c r="D293" s="47">
        <v>6625</v>
      </c>
      <c r="E293" s="47">
        <v>6724</v>
      </c>
      <c r="F293" s="48">
        <v>101366</v>
      </c>
      <c r="G293" s="57">
        <f t="shared" si="39"/>
        <v>0</v>
      </c>
      <c r="H293" s="57">
        <f t="shared" si="40"/>
        <v>97</v>
      </c>
      <c r="I293" s="67">
        <f t="shared" ca="1" si="41"/>
        <v>-1</v>
      </c>
      <c r="J293" s="68">
        <f t="shared" ca="1" si="42"/>
        <v>-1</v>
      </c>
      <c r="K293" s="69">
        <f t="shared" ca="1" si="43"/>
        <v>-97</v>
      </c>
      <c r="L293" s="42">
        <f t="shared" ca="1" si="44"/>
        <v>-492</v>
      </c>
      <c r="M293" s="62">
        <f t="shared" si="45"/>
        <v>1</v>
      </c>
      <c r="N293" s="40">
        <f ca="1">AVERAGE(M293:OFFSET(M293,-(O$5-1),0))</f>
        <v>0.7</v>
      </c>
      <c r="O293" s="63">
        <f t="shared" ca="1" si="46"/>
        <v>-1</v>
      </c>
      <c r="P293" s="65">
        <f ca="1">AVERAGE(E293:OFFSET(E293,-(Q$5-1),0))</f>
        <v>6587</v>
      </c>
      <c r="Q293" s="41">
        <f ca="1">AVERAGE(E293:OFFSET(E293,-(Q$6-1),0))</f>
        <v>6381.65</v>
      </c>
      <c r="R293" s="63">
        <f t="shared" ca="1" si="47"/>
        <v>0</v>
      </c>
    </row>
    <row r="294" spans="1:18">
      <c r="A294" s="46">
        <v>20090710</v>
      </c>
      <c r="B294" s="47">
        <v>6735</v>
      </c>
      <c r="C294" s="47">
        <v>6755</v>
      </c>
      <c r="D294" s="47">
        <v>6676</v>
      </c>
      <c r="E294" s="47">
        <v>6755</v>
      </c>
      <c r="F294" s="48">
        <v>73581</v>
      </c>
      <c r="G294" s="57">
        <f t="shared" si="39"/>
        <v>11</v>
      </c>
      <c r="H294" s="57">
        <f t="shared" si="40"/>
        <v>20</v>
      </c>
      <c r="I294" s="67">
        <f t="shared" ca="1" si="41"/>
        <v>-1</v>
      </c>
      <c r="J294" s="68">
        <f t="shared" ca="1" si="42"/>
        <v>-1</v>
      </c>
      <c r="K294" s="69">
        <f t="shared" ca="1" si="43"/>
        <v>-31</v>
      </c>
      <c r="L294" s="42">
        <f t="shared" ca="1" si="44"/>
        <v>-523</v>
      </c>
      <c r="M294" s="62">
        <f t="shared" si="45"/>
        <v>1</v>
      </c>
      <c r="N294" s="40">
        <f ca="1">AVERAGE(M294:OFFSET(M294,-(O$5-1),0))</f>
        <v>0.7</v>
      </c>
      <c r="O294" s="63">
        <f t="shared" ca="1" si="46"/>
        <v>-1</v>
      </c>
      <c r="P294" s="65">
        <f ca="1">AVERAGE(E294:OFFSET(E294,-(Q$5-1),0))</f>
        <v>6633.5</v>
      </c>
      <c r="Q294" s="41">
        <f ca="1">AVERAGE(E294:OFFSET(E294,-(Q$6-1),0))</f>
        <v>6397.55</v>
      </c>
      <c r="R294" s="63">
        <f t="shared" ca="1" si="47"/>
        <v>0</v>
      </c>
    </row>
    <row r="295" spans="1:18">
      <c r="A295" s="46">
        <v>20090713</v>
      </c>
      <c r="B295" s="47">
        <v>6739</v>
      </c>
      <c r="C295" s="47">
        <v>6765</v>
      </c>
      <c r="D295" s="47">
        <v>6443</v>
      </c>
      <c r="E295" s="47">
        <v>6469</v>
      </c>
      <c r="F295" s="48">
        <v>118983</v>
      </c>
      <c r="G295" s="57">
        <f t="shared" si="39"/>
        <v>-16</v>
      </c>
      <c r="H295" s="57">
        <f t="shared" si="40"/>
        <v>-270</v>
      </c>
      <c r="I295" s="67">
        <f t="shared" ca="1" si="41"/>
        <v>-1</v>
      </c>
      <c r="J295" s="68">
        <f t="shared" ca="1" si="42"/>
        <v>-1</v>
      </c>
      <c r="K295" s="69">
        <f t="shared" ca="1" si="43"/>
        <v>286</v>
      </c>
      <c r="L295" s="42">
        <f t="shared" ca="1" si="44"/>
        <v>-237</v>
      </c>
      <c r="M295" s="62">
        <f t="shared" si="45"/>
        <v>0</v>
      </c>
      <c r="N295" s="40">
        <f ca="1">AVERAGE(M295:OFFSET(M295,-(O$5-1),0))</f>
        <v>0.7</v>
      </c>
      <c r="O295" s="63">
        <f t="shared" ca="1" si="46"/>
        <v>-1</v>
      </c>
      <c r="P295" s="65">
        <f ca="1">AVERAGE(E295:OFFSET(E295,-(Q$5-1),0))</f>
        <v>6627.5</v>
      </c>
      <c r="Q295" s="41">
        <f ca="1">AVERAGE(E295:OFFSET(E295,-(Q$6-1),0))</f>
        <v>6410.6</v>
      </c>
      <c r="R295" s="63">
        <f t="shared" ca="1" si="47"/>
        <v>0</v>
      </c>
    </row>
    <row r="296" spans="1:18">
      <c r="A296" s="46">
        <v>20090714</v>
      </c>
      <c r="B296" s="47">
        <v>6540</v>
      </c>
      <c r="C296" s="47">
        <v>6609</v>
      </c>
      <c r="D296" s="47">
        <v>6507</v>
      </c>
      <c r="E296" s="47">
        <v>6580</v>
      </c>
      <c r="F296" s="48">
        <v>74525</v>
      </c>
      <c r="G296" s="57">
        <f t="shared" si="39"/>
        <v>71</v>
      </c>
      <c r="H296" s="57">
        <f t="shared" si="40"/>
        <v>40</v>
      </c>
      <c r="I296" s="67">
        <f t="shared" ca="1" si="41"/>
        <v>-1</v>
      </c>
      <c r="J296" s="68">
        <f t="shared" ca="1" si="42"/>
        <v>-1</v>
      </c>
      <c r="K296" s="69">
        <f t="shared" ca="1" si="43"/>
        <v>-111</v>
      </c>
      <c r="L296" s="42">
        <f t="shared" ca="1" si="44"/>
        <v>-348</v>
      </c>
      <c r="M296" s="62">
        <f t="shared" si="45"/>
        <v>1</v>
      </c>
      <c r="N296" s="40">
        <f ca="1">AVERAGE(M296:OFFSET(M296,-(O$5-1),0))</f>
        <v>0.7</v>
      </c>
      <c r="O296" s="63">
        <f t="shared" ca="1" si="46"/>
        <v>-1</v>
      </c>
      <c r="P296" s="65">
        <f ca="1">AVERAGE(E296:OFFSET(E296,-(Q$5-1),0))</f>
        <v>6626.25</v>
      </c>
      <c r="Q296" s="41">
        <f ca="1">AVERAGE(E296:OFFSET(E296,-(Q$6-1),0))</f>
        <v>6429.2</v>
      </c>
      <c r="R296" s="63">
        <f t="shared" ca="1" si="47"/>
        <v>0</v>
      </c>
    </row>
    <row r="297" spans="1:18">
      <c r="A297" s="46">
        <v>20090715</v>
      </c>
      <c r="B297" s="47">
        <v>6630</v>
      </c>
      <c r="C297" s="47">
        <v>6782</v>
      </c>
      <c r="D297" s="47">
        <v>6625</v>
      </c>
      <c r="E297" s="47">
        <v>6763</v>
      </c>
      <c r="F297" s="48">
        <v>65479</v>
      </c>
      <c r="G297" s="57">
        <f t="shared" si="39"/>
        <v>50</v>
      </c>
      <c r="H297" s="57">
        <f t="shared" si="40"/>
        <v>133</v>
      </c>
      <c r="I297" s="67">
        <f t="shared" ca="1" si="41"/>
        <v>-1</v>
      </c>
      <c r="J297" s="68">
        <f t="shared" ca="1" si="42"/>
        <v>-1</v>
      </c>
      <c r="K297" s="69">
        <f t="shared" ca="1" si="43"/>
        <v>-183</v>
      </c>
      <c r="L297" s="42">
        <f t="shared" ca="1" si="44"/>
        <v>-531</v>
      </c>
      <c r="M297" s="62">
        <f t="shared" si="45"/>
        <v>1</v>
      </c>
      <c r="N297" s="40">
        <f ca="1">AVERAGE(M297:OFFSET(M297,-(O$5-1),0))</f>
        <v>0.7</v>
      </c>
      <c r="O297" s="63">
        <f t="shared" ca="1" si="46"/>
        <v>-1</v>
      </c>
      <c r="P297" s="65">
        <f ca="1">AVERAGE(E297:OFFSET(E297,-(Q$5-1),0))</f>
        <v>6646.375</v>
      </c>
      <c r="Q297" s="41">
        <f ca="1">AVERAGE(E297:OFFSET(E297,-(Q$6-1),0))</f>
        <v>6460.25</v>
      </c>
      <c r="R297" s="63">
        <f t="shared" ca="1" si="47"/>
        <v>0</v>
      </c>
    </row>
    <row r="298" spans="1:18">
      <c r="A298" s="46">
        <v>20090716</v>
      </c>
      <c r="B298" s="47">
        <v>6748</v>
      </c>
      <c r="C298" s="47">
        <v>6785</v>
      </c>
      <c r="D298" s="47">
        <v>6661</v>
      </c>
      <c r="E298" s="47">
        <v>6709</v>
      </c>
      <c r="F298" s="48">
        <v>90123</v>
      </c>
      <c r="G298" s="57">
        <f t="shared" si="39"/>
        <v>-15</v>
      </c>
      <c r="H298" s="57">
        <f t="shared" si="40"/>
        <v>-39</v>
      </c>
      <c r="I298" s="67">
        <f t="shared" ca="1" si="41"/>
        <v>-1</v>
      </c>
      <c r="J298" s="68">
        <f t="shared" ca="1" si="42"/>
        <v>-1</v>
      </c>
      <c r="K298" s="69">
        <f t="shared" ca="1" si="43"/>
        <v>54</v>
      </c>
      <c r="L298" s="42">
        <f t="shared" ca="1" si="44"/>
        <v>-477</v>
      </c>
      <c r="M298" s="62">
        <f t="shared" si="45"/>
        <v>0</v>
      </c>
      <c r="N298" s="40">
        <f ca="1">AVERAGE(M298:OFFSET(M298,-(O$5-1),0))</f>
        <v>0.6</v>
      </c>
      <c r="O298" s="63">
        <f t="shared" ca="1" si="46"/>
        <v>-1</v>
      </c>
      <c r="P298" s="65">
        <f ca="1">AVERAGE(E298:OFFSET(E298,-(Q$5-1),0))</f>
        <v>6661.5</v>
      </c>
      <c r="Q298" s="41">
        <f ca="1">AVERAGE(E298:OFFSET(E298,-(Q$6-1),0))</f>
        <v>6491.2</v>
      </c>
      <c r="R298" s="63">
        <f t="shared" ca="1" si="47"/>
        <v>0</v>
      </c>
    </row>
    <row r="299" spans="1:18">
      <c r="A299" s="46">
        <v>20090717</v>
      </c>
      <c r="B299" s="47">
        <v>6736</v>
      </c>
      <c r="C299" s="47">
        <v>6802</v>
      </c>
      <c r="D299" s="47">
        <v>6700</v>
      </c>
      <c r="E299" s="47">
        <v>6756</v>
      </c>
      <c r="F299" s="48">
        <v>79822</v>
      </c>
      <c r="G299" s="57">
        <f t="shared" si="39"/>
        <v>27</v>
      </c>
      <c r="H299" s="57">
        <f t="shared" si="40"/>
        <v>20</v>
      </c>
      <c r="I299" s="67">
        <f t="shared" ca="1" si="41"/>
        <v>-1</v>
      </c>
      <c r="J299" s="68">
        <f t="shared" ca="1" si="42"/>
        <v>-1</v>
      </c>
      <c r="K299" s="69">
        <f t="shared" ca="1" si="43"/>
        <v>-47</v>
      </c>
      <c r="L299" s="42">
        <f t="shared" ca="1" si="44"/>
        <v>-524</v>
      </c>
      <c r="M299" s="62">
        <f t="shared" si="45"/>
        <v>1</v>
      </c>
      <c r="N299" s="40">
        <f ca="1">AVERAGE(M299:OFFSET(M299,-(O$5-1),0))</f>
        <v>0.6</v>
      </c>
      <c r="O299" s="63">
        <f t="shared" ca="1" si="46"/>
        <v>-1</v>
      </c>
      <c r="P299" s="65">
        <f ca="1">AVERAGE(E299:OFFSET(E299,-(Q$5-1),0))</f>
        <v>6672.875</v>
      </c>
      <c r="Q299" s="41">
        <f ca="1">AVERAGE(E299:OFFSET(E299,-(Q$6-1),0))</f>
        <v>6522.1</v>
      </c>
      <c r="R299" s="63">
        <f t="shared" ca="1" si="47"/>
        <v>0</v>
      </c>
    </row>
    <row r="300" spans="1:18">
      <c r="A300" s="46">
        <v>20090720</v>
      </c>
      <c r="B300" s="47">
        <v>6839</v>
      </c>
      <c r="C300" s="47">
        <v>6884</v>
      </c>
      <c r="D300" s="47">
        <v>6758</v>
      </c>
      <c r="E300" s="47">
        <v>6859</v>
      </c>
      <c r="F300" s="48">
        <v>86215</v>
      </c>
      <c r="G300" s="57">
        <f t="shared" si="39"/>
        <v>83</v>
      </c>
      <c r="H300" s="57">
        <f t="shared" si="40"/>
        <v>20</v>
      </c>
      <c r="I300" s="67">
        <f t="shared" ca="1" si="41"/>
        <v>-1</v>
      </c>
      <c r="J300" s="68">
        <f t="shared" ca="1" si="42"/>
        <v>-1</v>
      </c>
      <c r="K300" s="69">
        <f t="shared" ca="1" si="43"/>
        <v>-103</v>
      </c>
      <c r="L300" s="42">
        <f t="shared" ca="1" si="44"/>
        <v>-627</v>
      </c>
      <c r="M300" s="62">
        <f t="shared" si="45"/>
        <v>1</v>
      </c>
      <c r="N300" s="40">
        <f ca="1">AVERAGE(M300:OFFSET(M300,-(O$5-1),0))</f>
        <v>0.7</v>
      </c>
      <c r="O300" s="63">
        <f t="shared" ca="1" si="46"/>
        <v>-1</v>
      </c>
      <c r="P300" s="65">
        <f ca="1">AVERAGE(E300:OFFSET(E300,-(Q$5-1),0))</f>
        <v>6701.875</v>
      </c>
      <c r="Q300" s="41">
        <f ca="1">AVERAGE(E300:OFFSET(E300,-(Q$6-1),0))</f>
        <v>6554.75</v>
      </c>
      <c r="R300" s="63">
        <f t="shared" ca="1" si="47"/>
        <v>0</v>
      </c>
    </row>
    <row r="301" spans="1:18">
      <c r="A301" s="46">
        <v>20090721</v>
      </c>
      <c r="B301" s="47">
        <v>6900</v>
      </c>
      <c r="C301" s="47">
        <v>6912</v>
      </c>
      <c r="D301" s="47">
        <v>6795</v>
      </c>
      <c r="E301" s="47">
        <v>6874</v>
      </c>
      <c r="F301" s="48">
        <v>91335</v>
      </c>
      <c r="G301" s="57">
        <f t="shared" si="39"/>
        <v>41</v>
      </c>
      <c r="H301" s="57">
        <f t="shared" si="40"/>
        <v>-26</v>
      </c>
      <c r="I301" s="67">
        <f t="shared" ca="1" si="41"/>
        <v>-1</v>
      </c>
      <c r="J301" s="68">
        <f t="shared" ca="1" si="42"/>
        <v>-1</v>
      </c>
      <c r="K301" s="69">
        <f t="shared" ca="1" si="43"/>
        <v>-15</v>
      </c>
      <c r="L301" s="42">
        <f t="shared" ca="1" si="44"/>
        <v>-642</v>
      </c>
      <c r="M301" s="62">
        <f t="shared" si="45"/>
        <v>1</v>
      </c>
      <c r="N301" s="40">
        <f ca="1">AVERAGE(M301:OFFSET(M301,-(O$5-1),0))</f>
        <v>0.7</v>
      </c>
      <c r="O301" s="63">
        <f t="shared" ca="1" si="46"/>
        <v>-1</v>
      </c>
      <c r="P301" s="65">
        <f ca="1">AVERAGE(E301:OFFSET(E301,-(Q$5-1),0))</f>
        <v>6720.625</v>
      </c>
      <c r="Q301" s="41">
        <f ca="1">AVERAGE(E301:OFFSET(E301,-(Q$6-1),0))</f>
        <v>6594.85</v>
      </c>
      <c r="R301" s="63">
        <f t="shared" ca="1" si="47"/>
        <v>0</v>
      </c>
    </row>
    <row r="302" spans="1:18" ht="17.25" thickBot="1">
      <c r="A302" s="52">
        <v>20090722</v>
      </c>
      <c r="B302" s="53">
        <v>6870</v>
      </c>
      <c r="C302" s="53">
        <v>6959</v>
      </c>
      <c r="D302" s="53">
        <v>6847</v>
      </c>
      <c r="E302" s="53">
        <v>6885</v>
      </c>
      <c r="F302" s="54">
        <v>93603</v>
      </c>
      <c r="G302" s="57">
        <f t="shared" si="39"/>
        <v>-4</v>
      </c>
      <c r="H302" s="57">
        <f t="shared" si="40"/>
        <v>15</v>
      </c>
      <c r="I302" s="67">
        <f t="shared" ca="1" si="41"/>
        <v>-1</v>
      </c>
      <c r="J302" s="68">
        <f t="shared" ca="1" si="42"/>
        <v>-1</v>
      </c>
      <c r="K302" s="69">
        <f t="shared" ca="1" si="43"/>
        <v>-11</v>
      </c>
      <c r="L302" s="42">
        <f t="shared" ca="1" si="44"/>
        <v>-653</v>
      </c>
      <c r="M302" s="62">
        <f t="shared" si="45"/>
        <v>1</v>
      </c>
      <c r="N302" s="40">
        <f ca="1">AVERAGE(M302:OFFSET(M302,-(O$5-1),0))</f>
        <v>0.8</v>
      </c>
      <c r="O302" s="63">
        <f t="shared" ca="1" si="46"/>
        <v>-1</v>
      </c>
      <c r="P302" s="65">
        <f ca="1">AVERAGE(E302:OFFSET(E302,-(Q$5-1),0))</f>
        <v>6736.875</v>
      </c>
      <c r="Q302" s="41">
        <f ca="1">AVERAGE(E302:OFFSET(E302,-(Q$6-1),0))</f>
        <v>6623.55</v>
      </c>
      <c r="R302" s="63">
        <f t="shared" ca="1" si="47"/>
        <v>0</v>
      </c>
    </row>
  </sheetData>
  <mergeCells count="9">
    <mergeCell ref="S53:S67"/>
    <mergeCell ref="S52:T52"/>
    <mergeCell ref="A1:F1"/>
    <mergeCell ref="M1:O1"/>
    <mergeCell ref="N4:O4"/>
    <mergeCell ref="K1:L1"/>
    <mergeCell ref="K4:L4"/>
    <mergeCell ref="P4:Q4"/>
    <mergeCell ref="P1:R1"/>
  </mergeCells>
  <phoneticPr fontId="1" type="noConversion"/>
  <conditionalFormatting sqref="U53:AD6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18</xdr:col>
                <xdr:colOff>19050</xdr:colOff>
                <xdr:row>52</xdr:row>
                <xdr:rowOff>19050</xdr:rowOff>
              </from>
              <to>
                <xdr:col>19</xdr:col>
                <xdr:colOff>0</xdr:colOff>
                <xdr:row>53</xdr:row>
                <xdr:rowOff>200025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tabSelected="1" workbookViewId="0">
      <selection activeCell="L18" sqref="L18"/>
    </sheetView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Ex1</vt:lpstr>
      <vt:lpstr>Sheet2</vt:lpstr>
    </vt:vector>
  </TitlesOfParts>
  <Company>APEX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CLCY</dc:creator>
  <cp:lastModifiedBy>user</cp:lastModifiedBy>
  <dcterms:created xsi:type="dcterms:W3CDTF">1999-04-29T01:01:18Z</dcterms:created>
  <dcterms:modified xsi:type="dcterms:W3CDTF">2011-09-04T08:33:19Z</dcterms:modified>
</cp:coreProperties>
</file>