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9200" windowHeight="10515" activeTab="1"/>
  </bookViews>
  <sheets>
    <sheet name="Quote" sheetId="4" r:id="rId1"/>
    <sheet name="MinBar" sheetId="3" r:id="rId2"/>
  </sheets>
  <externalReferences>
    <externalReference r:id="rId3"/>
  </externalReferences>
  <calcPr calcId="125725"/>
</workbook>
</file>

<file path=xl/calcChain.xml><?xml version="1.0" encoding="utf-8"?>
<calcChain xmlns="http://schemas.openxmlformats.org/spreadsheetml/2006/main">
  <c r="G181" i="3"/>
  <c r="I182" s="1"/>
  <c r="H181"/>
  <c r="G182"/>
  <c r="I183" s="1"/>
  <c r="H182"/>
  <c r="G183"/>
  <c r="I184" s="1"/>
  <c r="H183"/>
  <c r="G184"/>
  <c r="I185" s="1"/>
  <c r="H184"/>
  <c r="G185"/>
  <c r="I186" s="1"/>
  <c r="H185"/>
  <c r="G186"/>
  <c r="I187" s="1"/>
  <c r="H186"/>
  <c r="G187"/>
  <c r="I188" s="1"/>
  <c r="H187"/>
  <c r="G188"/>
  <c r="I189" s="1"/>
  <c r="H188"/>
  <c r="G189"/>
  <c r="I190" s="1"/>
  <c r="H189"/>
  <c r="G190"/>
  <c r="I191" s="1"/>
  <c r="H190"/>
  <c r="G191"/>
  <c r="I192" s="1"/>
  <c r="H191"/>
  <c r="G192"/>
  <c r="I193" s="1"/>
  <c r="H192"/>
  <c r="G193"/>
  <c r="I194" s="1"/>
  <c r="H193"/>
  <c r="G194"/>
  <c r="I195" s="1"/>
  <c r="H194"/>
  <c r="G195"/>
  <c r="I196" s="1"/>
  <c r="H195"/>
  <c r="G196"/>
  <c r="I197" s="1"/>
  <c r="H196"/>
  <c r="G197"/>
  <c r="I198" s="1"/>
  <c r="H197"/>
  <c r="G198"/>
  <c r="I199" s="1"/>
  <c r="H198"/>
  <c r="G199"/>
  <c r="I200" s="1"/>
  <c r="H199"/>
  <c r="G200"/>
  <c r="I201" s="1"/>
  <c r="H200"/>
  <c r="G201"/>
  <c r="I202" s="1"/>
  <c r="H201"/>
  <c r="G202"/>
  <c r="I203" s="1"/>
  <c r="H202"/>
  <c r="G203"/>
  <c r="I204" s="1"/>
  <c r="H203"/>
  <c r="G204"/>
  <c r="I205" s="1"/>
  <c r="H204"/>
  <c r="G205"/>
  <c r="I206" s="1"/>
  <c r="H205"/>
  <c r="G206"/>
  <c r="I207" s="1"/>
  <c r="H206"/>
  <c r="G207"/>
  <c r="I208" s="1"/>
  <c r="H207"/>
  <c r="G208"/>
  <c r="I209" s="1"/>
  <c r="H208"/>
  <c r="G209"/>
  <c r="I210" s="1"/>
  <c r="H209"/>
  <c r="G210"/>
  <c r="I211" s="1"/>
  <c r="H210"/>
  <c r="G211"/>
  <c r="I212" s="1"/>
  <c r="H211"/>
  <c r="G212"/>
  <c r="I213" s="1"/>
  <c r="H212"/>
  <c r="G213"/>
  <c r="I214" s="1"/>
  <c r="H213"/>
  <c r="G214"/>
  <c r="I215" s="1"/>
  <c r="H214"/>
  <c r="G215"/>
  <c r="I216" s="1"/>
  <c r="H215"/>
  <c r="G216"/>
  <c r="I217" s="1"/>
  <c r="H216"/>
  <c r="G217"/>
  <c r="I218" s="1"/>
  <c r="H217"/>
  <c r="G218"/>
  <c r="I219" s="1"/>
  <c r="H218"/>
  <c r="G219"/>
  <c r="I220" s="1"/>
  <c r="H219"/>
  <c r="G220"/>
  <c r="I221" s="1"/>
  <c r="H220"/>
  <c r="G221"/>
  <c r="I222" s="1"/>
  <c r="H221"/>
  <c r="G222"/>
  <c r="I223" s="1"/>
  <c r="H222"/>
  <c r="G223"/>
  <c r="I224" s="1"/>
  <c r="H223"/>
  <c r="G224"/>
  <c r="I225" s="1"/>
  <c r="H224"/>
  <c r="G225"/>
  <c r="I226" s="1"/>
  <c r="H225"/>
  <c r="G226"/>
  <c r="I227" s="1"/>
  <c r="H226"/>
  <c r="G227"/>
  <c r="I228" s="1"/>
  <c r="H227"/>
  <c r="G228"/>
  <c r="I229" s="1"/>
  <c r="H228"/>
  <c r="G229"/>
  <c r="I230" s="1"/>
  <c r="H229"/>
  <c r="G230"/>
  <c r="I231" s="1"/>
  <c r="H230"/>
  <c r="G231"/>
  <c r="I232" s="1"/>
  <c r="H231"/>
  <c r="G232"/>
  <c r="I233" s="1"/>
  <c r="H232"/>
  <c r="G233"/>
  <c r="I234" s="1"/>
  <c r="H233"/>
  <c r="G234"/>
  <c r="I235" s="1"/>
  <c r="H234"/>
  <c r="G235"/>
  <c r="I236" s="1"/>
  <c r="H235"/>
  <c r="G236"/>
  <c r="I237" s="1"/>
  <c r="H236"/>
  <c r="G237"/>
  <c r="I238" s="1"/>
  <c r="H237"/>
  <c r="G238"/>
  <c r="I239" s="1"/>
  <c r="H238"/>
  <c r="G239"/>
  <c r="I240" s="1"/>
  <c r="H239"/>
  <c r="G240"/>
  <c r="I241" s="1"/>
  <c r="H240"/>
  <c r="G241"/>
  <c r="I242" s="1"/>
  <c r="H241"/>
  <c r="G242"/>
  <c r="I243" s="1"/>
  <c r="H242"/>
  <c r="G243"/>
  <c r="I244" s="1"/>
  <c r="H243"/>
  <c r="G244"/>
  <c r="I245" s="1"/>
  <c r="H244"/>
  <c r="G245"/>
  <c r="I246" s="1"/>
  <c r="H245"/>
  <c r="G246"/>
  <c r="I247" s="1"/>
  <c r="H246"/>
  <c r="G247"/>
  <c r="I248" s="1"/>
  <c r="H247"/>
  <c r="G248"/>
  <c r="I249" s="1"/>
  <c r="H248"/>
  <c r="G249"/>
  <c r="I250" s="1"/>
  <c r="H249"/>
  <c r="G250"/>
  <c r="I251" s="1"/>
  <c r="H250"/>
  <c r="G251"/>
  <c r="I252" s="1"/>
  <c r="H251"/>
  <c r="G252"/>
  <c r="I253" s="1"/>
  <c r="H252"/>
  <c r="G253"/>
  <c r="I254" s="1"/>
  <c r="H253"/>
  <c r="G254"/>
  <c r="I255" s="1"/>
  <c r="H254"/>
  <c r="G255"/>
  <c r="I256" s="1"/>
  <c r="H255"/>
  <c r="G256"/>
  <c r="I257" s="1"/>
  <c r="H256"/>
  <c r="G257"/>
  <c r="I258" s="1"/>
  <c r="H257"/>
  <c r="G258"/>
  <c r="I259" s="1"/>
  <c r="H258"/>
  <c r="G259"/>
  <c r="I260" s="1"/>
  <c r="H259"/>
  <c r="G260"/>
  <c r="I261" s="1"/>
  <c r="H260"/>
  <c r="G261"/>
  <c r="I262" s="1"/>
  <c r="H261"/>
  <c r="G262"/>
  <c r="I263" s="1"/>
  <c r="H262"/>
  <c r="G263"/>
  <c r="I264" s="1"/>
  <c r="H263"/>
  <c r="G264"/>
  <c r="I265" s="1"/>
  <c r="H264"/>
  <c r="G265"/>
  <c r="I266" s="1"/>
  <c r="H265"/>
  <c r="G266"/>
  <c r="I267" s="1"/>
  <c r="H266"/>
  <c r="G267"/>
  <c r="I268" s="1"/>
  <c r="H267"/>
  <c r="G268"/>
  <c r="I269" s="1"/>
  <c r="H268"/>
  <c r="G269"/>
  <c r="I270" s="1"/>
  <c r="H269"/>
  <c r="G270"/>
  <c r="I271" s="1"/>
  <c r="H270"/>
  <c r="G271"/>
  <c r="I272" s="1"/>
  <c r="H271"/>
  <c r="G272"/>
  <c r="I273" s="1"/>
  <c r="H272"/>
  <c r="G273"/>
  <c r="I274" s="1"/>
  <c r="H273"/>
  <c r="G274"/>
  <c r="I275" s="1"/>
  <c r="H274"/>
  <c r="G275"/>
  <c r="I276" s="1"/>
  <c r="H275"/>
  <c r="G276"/>
  <c r="I277" s="1"/>
  <c r="H276"/>
  <c r="G277"/>
  <c r="I278" s="1"/>
  <c r="H277"/>
  <c r="G278"/>
  <c r="I279" s="1"/>
  <c r="H278"/>
  <c r="G279"/>
  <c r="I280" s="1"/>
  <c r="H279"/>
  <c r="G280"/>
  <c r="I281" s="1"/>
  <c r="H280"/>
  <c r="G281"/>
  <c r="I282" s="1"/>
  <c r="H281"/>
  <c r="G282"/>
  <c r="I283" s="1"/>
  <c r="H282"/>
  <c r="G283"/>
  <c r="I284" s="1"/>
  <c r="H283"/>
  <c r="G284"/>
  <c r="I285" s="1"/>
  <c r="H284"/>
  <c r="G285"/>
  <c r="I286" s="1"/>
  <c r="H285"/>
  <c r="G286"/>
  <c r="I287" s="1"/>
  <c r="H286"/>
  <c r="G287"/>
  <c r="I288" s="1"/>
  <c r="H287"/>
  <c r="G288"/>
  <c r="I289" s="1"/>
  <c r="H288"/>
  <c r="G289"/>
  <c r="I290" s="1"/>
  <c r="H289"/>
  <c r="G290"/>
  <c r="I291" s="1"/>
  <c r="H290"/>
  <c r="G291"/>
  <c r="I292" s="1"/>
  <c r="H291"/>
  <c r="G292"/>
  <c r="I293" s="1"/>
  <c r="H292"/>
  <c r="G293"/>
  <c r="I294" s="1"/>
  <c r="H293"/>
  <c r="G294"/>
  <c r="I295" s="1"/>
  <c r="H294"/>
  <c r="G295"/>
  <c r="I296" s="1"/>
  <c r="H295"/>
  <c r="G296"/>
  <c r="I297" s="1"/>
  <c r="H296"/>
  <c r="G297"/>
  <c r="I298" s="1"/>
  <c r="H297"/>
  <c r="G298"/>
  <c r="I299" s="1"/>
  <c r="H298"/>
  <c r="G299"/>
  <c r="I300" s="1"/>
  <c r="H299"/>
  <c r="G300"/>
  <c r="I301" s="1"/>
  <c r="H300"/>
  <c r="G301"/>
  <c r="H301"/>
  <c r="G21"/>
  <c r="I22" s="1"/>
  <c r="H21"/>
  <c r="G22"/>
  <c r="I23" s="1"/>
  <c r="H22"/>
  <c r="G23"/>
  <c r="I24" s="1"/>
  <c r="H23"/>
  <c r="G24"/>
  <c r="I25" s="1"/>
  <c r="H24"/>
  <c r="G25"/>
  <c r="I26" s="1"/>
  <c r="H25"/>
  <c r="G26"/>
  <c r="I27" s="1"/>
  <c r="H26"/>
  <c r="G27"/>
  <c r="I28" s="1"/>
  <c r="H27"/>
  <c r="G28"/>
  <c r="I29" s="1"/>
  <c r="H28"/>
  <c r="G29"/>
  <c r="I30" s="1"/>
  <c r="H29"/>
  <c r="G30"/>
  <c r="I31" s="1"/>
  <c r="H30"/>
  <c r="G31"/>
  <c r="I32" s="1"/>
  <c r="H31"/>
  <c r="G32"/>
  <c r="I33" s="1"/>
  <c r="H32"/>
  <c r="G33"/>
  <c r="I34" s="1"/>
  <c r="H33"/>
  <c r="G34"/>
  <c r="I35" s="1"/>
  <c r="H34"/>
  <c r="G35"/>
  <c r="I36" s="1"/>
  <c r="H35"/>
  <c r="G36"/>
  <c r="I37" s="1"/>
  <c r="H36"/>
  <c r="G37"/>
  <c r="I38" s="1"/>
  <c r="H37"/>
  <c r="G38"/>
  <c r="I39" s="1"/>
  <c r="H38"/>
  <c r="G39"/>
  <c r="I40" s="1"/>
  <c r="H39"/>
  <c r="G40"/>
  <c r="I41" s="1"/>
  <c r="H40"/>
  <c r="G41"/>
  <c r="I42" s="1"/>
  <c r="H41"/>
  <c r="G42"/>
  <c r="I43" s="1"/>
  <c r="H42"/>
  <c r="G43"/>
  <c r="I44" s="1"/>
  <c r="H43"/>
  <c r="G44"/>
  <c r="I45" s="1"/>
  <c r="H44"/>
  <c r="G45"/>
  <c r="I46" s="1"/>
  <c r="H45"/>
  <c r="G46"/>
  <c r="I47" s="1"/>
  <c r="H46"/>
  <c r="G47"/>
  <c r="I48" s="1"/>
  <c r="H47"/>
  <c r="G48"/>
  <c r="I49" s="1"/>
  <c r="H48"/>
  <c r="G49"/>
  <c r="I50" s="1"/>
  <c r="H49"/>
  <c r="G50"/>
  <c r="I51" s="1"/>
  <c r="H50"/>
  <c r="G51"/>
  <c r="I52" s="1"/>
  <c r="H51"/>
  <c r="G52"/>
  <c r="I53" s="1"/>
  <c r="H52"/>
  <c r="G53"/>
  <c r="I54" s="1"/>
  <c r="H53"/>
  <c r="G54"/>
  <c r="I55" s="1"/>
  <c r="H54"/>
  <c r="G55"/>
  <c r="I56" s="1"/>
  <c r="H55"/>
  <c r="G56"/>
  <c r="I57" s="1"/>
  <c r="H56"/>
  <c r="G57"/>
  <c r="I58" s="1"/>
  <c r="H57"/>
  <c r="G58"/>
  <c r="I59" s="1"/>
  <c r="H58"/>
  <c r="G59"/>
  <c r="I60" s="1"/>
  <c r="H59"/>
  <c r="G60"/>
  <c r="I61" s="1"/>
  <c r="H60"/>
  <c r="G61"/>
  <c r="I62" s="1"/>
  <c r="H61"/>
  <c r="G62"/>
  <c r="I63" s="1"/>
  <c r="H62"/>
  <c r="G63"/>
  <c r="I64" s="1"/>
  <c r="H63"/>
  <c r="G64"/>
  <c r="I65" s="1"/>
  <c r="H64"/>
  <c r="G65"/>
  <c r="I66" s="1"/>
  <c r="H65"/>
  <c r="G66"/>
  <c r="I67" s="1"/>
  <c r="H66"/>
  <c r="G67"/>
  <c r="I68" s="1"/>
  <c r="H67"/>
  <c r="G68"/>
  <c r="I69" s="1"/>
  <c r="H68"/>
  <c r="G69"/>
  <c r="I70" s="1"/>
  <c r="H69"/>
  <c r="G70"/>
  <c r="I71" s="1"/>
  <c r="H70"/>
  <c r="G71"/>
  <c r="I72" s="1"/>
  <c r="H71"/>
  <c r="G72"/>
  <c r="I73" s="1"/>
  <c r="H72"/>
  <c r="G73"/>
  <c r="I74" s="1"/>
  <c r="H73"/>
  <c r="G74"/>
  <c r="I75" s="1"/>
  <c r="H74"/>
  <c r="G75"/>
  <c r="I76" s="1"/>
  <c r="H75"/>
  <c r="G76"/>
  <c r="I77" s="1"/>
  <c r="H76"/>
  <c r="G77"/>
  <c r="I78" s="1"/>
  <c r="H77"/>
  <c r="G78"/>
  <c r="I79" s="1"/>
  <c r="H78"/>
  <c r="G79"/>
  <c r="I80" s="1"/>
  <c r="H79"/>
  <c r="G80"/>
  <c r="I81" s="1"/>
  <c r="H80"/>
  <c r="G81"/>
  <c r="I82" s="1"/>
  <c r="H81"/>
  <c r="G82"/>
  <c r="I83" s="1"/>
  <c r="H82"/>
  <c r="G83"/>
  <c r="I84" s="1"/>
  <c r="H83"/>
  <c r="G84"/>
  <c r="I85" s="1"/>
  <c r="H84"/>
  <c r="G85"/>
  <c r="I86" s="1"/>
  <c r="H85"/>
  <c r="G86"/>
  <c r="I87" s="1"/>
  <c r="H86"/>
  <c r="G87"/>
  <c r="I88" s="1"/>
  <c r="H87"/>
  <c r="G88"/>
  <c r="I89" s="1"/>
  <c r="H88"/>
  <c r="G89"/>
  <c r="I90" s="1"/>
  <c r="H89"/>
  <c r="G90"/>
  <c r="I91" s="1"/>
  <c r="H90"/>
  <c r="G91"/>
  <c r="I92" s="1"/>
  <c r="H91"/>
  <c r="G92"/>
  <c r="I93" s="1"/>
  <c r="H92"/>
  <c r="G93"/>
  <c r="I94" s="1"/>
  <c r="H93"/>
  <c r="G94"/>
  <c r="I95" s="1"/>
  <c r="H94"/>
  <c r="G95"/>
  <c r="I96" s="1"/>
  <c r="H95"/>
  <c r="G96"/>
  <c r="I97" s="1"/>
  <c r="H96"/>
  <c r="G97"/>
  <c r="I98" s="1"/>
  <c r="H97"/>
  <c r="G98"/>
  <c r="I99" s="1"/>
  <c r="H98"/>
  <c r="G99"/>
  <c r="I100" s="1"/>
  <c r="H99"/>
  <c r="G100"/>
  <c r="I101" s="1"/>
  <c r="H100"/>
  <c r="G101"/>
  <c r="I102" s="1"/>
  <c r="H101"/>
  <c r="G102"/>
  <c r="I103" s="1"/>
  <c r="H102"/>
  <c r="G103"/>
  <c r="I104" s="1"/>
  <c r="H103"/>
  <c r="G104"/>
  <c r="I105" s="1"/>
  <c r="H104"/>
  <c r="G105"/>
  <c r="I106" s="1"/>
  <c r="H105"/>
  <c r="G106"/>
  <c r="I107" s="1"/>
  <c r="H106"/>
  <c r="G107"/>
  <c r="I108" s="1"/>
  <c r="H107"/>
  <c r="G108"/>
  <c r="I109" s="1"/>
  <c r="H108"/>
  <c r="G109"/>
  <c r="I110" s="1"/>
  <c r="H109"/>
  <c r="G110"/>
  <c r="I111" s="1"/>
  <c r="H110"/>
  <c r="G111"/>
  <c r="I112" s="1"/>
  <c r="H111"/>
  <c r="G112"/>
  <c r="I113" s="1"/>
  <c r="H112"/>
  <c r="G113"/>
  <c r="I114" s="1"/>
  <c r="H113"/>
  <c r="G114"/>
  <c r="I115" s="1"/>
  <c r="H114"/>
  <c r="G115"/>
  <c r="I116" s="1"/>
  <c r="H115"/>
  <c r="G116"/>
  <c r="I117" s="1"/>
  <c r="H116"/>
  <c r="G117"/>
  <c r="I118" s="1"/>
  <c r="H117"/>
  <c r="G118"/>
  <c r="I119" s="1"/>
  <c r="H118"/>
  <c r="G119"/>
  <c r="I120" s="1"/>
  <c r="H119"/>
  <c r="G120"/>
  <c r="I121" s="1"/>
  <c r="H120"/>
  <c r="G121"/>
  <c r="I122" s="1"/>
  <c r="H121"/>
  <c r="G122"/>
  <c r="I123" s="1"/>
  <c r="H122"/>
  <c r="G123"/>
  <c r="I124" s="1"/>
  <c r="H123"/>
  <c r="G124"/>
  <c r="I125" s="1"/>
  <c r="H124"/>
  <c r="G125"/>
  <c r="I126" s="1"/>
  <c r="H125"/>
  <c r="G126"/>
  <c r="I127" s="1"/>
  <c r="H126"/>
  <c r="G127"/>
  <c r="I128" s="1"/>
  <c r="H127"/>
  <c r="G128"/>
  <c r="I129" s="1"/>
  <c r="H128"/>
  <c r="G129"/>
  <c r="I130" s="1"/>
  <c r="H129"/>
  <c r="G130"/>
  <c r="I131" s="1"/>
  <c r="H130"/>
  <c r="G131"/>
  <c r="I132" s="1"/>
  <c r="H131"/>
  <c r="G132"/>
  <c r="I133" s="1"/>
  <c r="H132"/>
  <c r="G133"/>
  <c r="I134" s="1"/>
  <c r="H133"/>
  <c r="G134"/>
  <c r="I135" s="1"/>
  <c r="H134"/>
  <c r="G135"/>
  <c r="I136" s="1"/>
  <c r="H135"/>
  <c r="G136"/>
  <c r="I137" s="1"/>
  <c r="H136"/>
  <c r="G137"/>
  <c r="I138" s="1"/>
  <c r="H137"/>
  <c r="G138"/>
  <c r="I139" s="1"/>
  <c r="H138"/>
  <c r="G139"/>
  <c r="I140" s="1"/>
  <c r="H139"/>
  <c r="G140"/>
  <c r="I141" s="1"/>
  <c r="H140"/>
  <c r="G141"/>
  <c r="I142" s="1"/>
  <c r="H141"/>
  <c r="G142"/>
  <c r="I143" s="1"/>
  <c r="H142"/>
  <c r="G143"/>
  <c r="I144" s="1"/>
  <c r="H143"/>
  <c r="G144"/>
  <c r="I145" s="1"/>
  <c r="H144"/>
  <c r="G145"/>
  <c r="I146" s="1"/>
  <c r="H145"/>
  <c r="G146"/>
  <c r="I147" s="1"/>
  <c r="H146"/>
  <c r="G147"/>
  <c r="I148" s="1"/>
  <c r="H147"/>
  <c r="G148"/>
  <c r="I149" s="1"/>
  <c r="H148"/>
  <c r="G149"/>
  <c r="I150" s="1"/>
  <c r="H149"/>
  <c r="G150"/>
  <c r="I151" s="1"/>
  <c r="H150"/>
  <c r="G151"/>
  <c r="I152" s="1"/>
  <c r="H151"/>
  <c r="G152"/>
  <c r="I153" s="1"/>
  <c r="H152"/>
  <c r="G153"/>
  <c r="I154" s="1"/>
  <c r="H153"/>
  <c r="G154"/>
  <c r="I155" s="1"/>
  <c r="H154"/>
  <c r="G155"/>
  <c r="I156" s="1"/>
  <c r="H155"/>
  <c r="G156"/>
  <c r="I157" s="1"/>
  <c r="H156"/>
  <c r="G157"/>
  <c r="I158" s="1"/>
  <c r="H157"/>
  <c r="G158"/>
  <c r="I159" s="1"/>
  <c r="H158"/>
  <c r="G159"/>
  <c r="I160" s="1"/>
  <c r="H159"/>
  <c r="G160"/>
  <c r="I161" s="1"/>
  <c r="H160"/>
  <c r="G161"/>
  <c r="I162" s="1"/>
  <c r="H161"/>
  <c r="G162"/>
  <c r="I163" s="1"/>
  <c r="H162"/>
  <c r="G163"/>
  <c r="I164" s="1"/>
  <c r="H163"/>
  <c r="G164"/>
  <c r="I165" s="1"/>
  <c r="H164"/>
  <c r="G165"/>
  <c r="I166" s="1"/>
  <c r="H165"/>
  <c r="G166"/>
  <c r="I167" s="1"/>
  <c r="H166"/>
  <c r="G167"/>
  <c r="I168" s="1"/>
  <c r="H167"/>
  <c r="G168"/>
  <c r="I169" s="1"/>
  <c r="H168"/>
  <c r="G169"/>
  <c r="I170" s="1"/>
  <c r="H169"/>
  <c r="G170"/>
  <c r="I171" s="1"/>
  <c r="H170"/>
  <c r="G171"/>
  <c r="I172" s="1"/>
  <c r="H171"/>
  <c r="G172"/>
  <c r="I173" s="1"/>
  <c r="H172"/>
  <c r="G173"/>
  <c r="I174" s="1"/>
  <c r="H173"/>
  <c r="G174"/>
  <c r="I175" s="1"/>
  <c r="H174"/>
  <c r="G175"/>
  <c r="I176" s="1"/>
  <c r="H175"/>
  <c r="G176"/>
  <c r="I177" s="1"/>
  <c r="H176"/>
  <c r="G177"/>
  <c r="I178" s="1"/>
  <c r="H177"/>
  <c r="G178"/>
  <c r="I179" s="1"/>
  <c r="H178"/>
  <c r="G179"/>
  <c r="I180" s="1"/>
  <c r="H179"/>
  <c r="G180"/>
  <c r="I181" s="1"/>
  <c r="H180"/>
  <c r="H20"/>
  <c r="G20"/>
  <c r="I21" s="1"/>
  <c r="H7" i="4"/>
  <c r="G7"/>
  <c r="F7"/>
  <c r="E7"/>
  <c r="D7"/>
  <c r="C7"/>
  <c r="B7"/>
  <c r="A7"/>
  <c r="H6"/>
  <c r="G6"/>
  <c r="F6"/>
  <c r="E6"/>
  <c r="D6"/>
  <c r="C6"/>
  <c r="B6"/>
  <c r="A6"/>
  <c r="H5"/>
  <c r="G5"/>
  <c r="F5"/>
  <c r="E5"/>
  <c r="D5"/>
  <c r="C5"/>
  <c r="B5"/>
  <c r="A5"/>
  <c r="H4"/>
  <c r="G4"/>
  <c r="F4"/>
  <c r="E4"/>
  <c r="D4"/>
  <c r="C4"/>
  <c r="B4"/>
  <c r="A4"/>
  <c r="H3"/>
  <c r="G3"/>
  <c r="F3"/>
  <c r="E3"/>
  <c r="D3"/>
  <c r="C3"/>
  <c r="B3"/>
  <c r="A3"/>
  <c r="H2"/>
  <c r="G2"/>
  <c r="F2"/>
  <c r="E2"/>
  <c r="D2"/>
  <c r="C2"/>
  <c r="B2"/>
  <c r="A2"/>
  <c r="J161" i="3" l="1"/>
  <c r="J180"/>
  <c r="J178"/>
  <c r="J176"/>
  <c r="J174"/>
  <c r="J172"/>
  <c r="J170"/>
  <c r="J168"/>
  <c r="J166"/>
  <c r="J164"/>
  <c r="J163"/>
  <c r="J162"/>
  <c r="J160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179"/>
  <c r="J177"/>
  <c r="J175"/>
  <c r="J173"/>
  <c r="J171"/>
  <c r="J169"/>
  <c r="J167"/>
  <c r="J165"/>
  <c r="J159"/>
  <c r="J22"/>
  <c r="J21"/>
</calcChain>
</file>

<file path=xl/sharedStrings.xml><?xml version="1.0" encoding="utf-8"?>
<sst xmlns="http://schemas.openxmlformats.org/spreadsheetml/2006/main" count="18" uniqueCount="18">
  <si>
    <t>時間</t>
  </si>
  <si>
    <t>成交價</t>
  </si>
  <si>
    <t>漲跌</t>
  </si>
  <si>
    <t>單量</t>
  </si>
  <si>
    <t>開盤價</t>
  </si>
  <si>
    <t>最高價</t>
  </si>
  <si>
    <t>最低價</t>
  </si>
  <si>
    <t>成交量</t>
  </si>
  <si>
    <t>短均線</t>
    <phoneticPr fontId="1" type="noConversion"/>
  </si>
  <si>
    <t>長均線</t>
    <phoneticPr fontId="1" type="noConversion"/>
  </si>
  <si>
    <t>交易時間</t>
    <phoneticPr fontId="1" type="noConversion"/>
  </si>
  <si>
    <t>開盤價</t>
    <phoneticPr fontId="1" type="noConversion"/>
  </si>
  <si>
    <t>最高價</t>
    <phoneticPr fontId="1" type="noConversion"/>
  </si>
  <si>
    <t>最低價</t>
    <phoneticPr fontId="1" type="noConversion"/>
  </si>
  <si>
    <t>收盤價</t>
    <phoneticPr fontId="1" type="noConversion"/>
  </si>
  <si>
    <t>成交量(估)</t>
    <phoneticPr fontId="1" type="noConversion"/>
  </si>
  <si>
    <t>交叉</t>
    <phoneticPr fontId="1" type="noConversion"/>
  </si>
  <si>
    <t>行動</t>
    <phoneticPr fontId="1" type="noConversion"/>
  </si>
</sst>
</file>

<file path=xl/styles.xml><?xml version="1.0" encoding="utf-8"?>
<styleSheet xmlns="http://schemas.openxmlformats.org/spreadsheetml/2006/main">
  <numFmts count="2">
    <numFmt numFmtId="176" formatCode="0.00_);[Red]\(0.00\)"/>
    <numFmt numFmtId="177" formatCode="h:mm:ss;@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  <scheme val="minor"/>
    </font>
    <font>
      <b/>
      <sz val="12"/>
      <color theme="2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b/>
      <sz val="12"/>
      <color theme="4" tint="0.7999816888943144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177" fontId="4" fillId="3" borderId="10" xfId="0" applyNumberFormat="1" applyFont="1" applyFill="1" applyBorder="1">
      <alignment vertical="center"/>
    </xf>
    <xf numFmtId="0" fontId="4" fillId="3" borderId="11" xfId="0" applyFont="1" applyFill="1" applyBorder="1">
      <alignment vertical="center"/>
    </xf>
    <xf numFmtId="177" fontId="4" fillId="3" borderId="5" xfId="0" applyNumberFormat="1" applyFont="1" applyFill="1" applyBorder="1">
      <alignment vertical="center"/>
    </xf>
    <xf numFmtId="0" fontId="4" fillId="3" borderId="1" xfId="0" applyFont="1" applyFill="1" applyBorder="1">
      <alignment vertical="center"/>
    </xf>
    <xf numFmtId="177" fontId="4" fillId="3" borderId="7" xfId="0" applyNumberFormat="1" applyFont="1" applyFill="1" applyBorder="1">
      <alignment vertical="center"/>
    </xf>
    <xf numFmtId="0" fontId="4" fillId="3" borderId="8" xfId="0" applyFont="1" applyFill="1" applyBorder="1">
      <alignment vertical="center"/>
    </xf>
    <xf numFmtId="176" fontId="0" fillId="4" borderId="1" xfId="0" applyNumberFormat="1" applyFill="1" applyBorder="1">
      <alignment vertical="center"/>
    </xf>
    <xf numFmtId="176" fontId="0" fillId="4" borderId="8" xfId="0" applyNumberFormat="1" applyFill="1" applyBorder="1">
      <alignment vertical="center"/>
    </xf>
    <xf numFmtId="0" fontId="0" fillId="5" borderId="1" xfId="0" applyFill="1" applyBorder="1">
      <alignment vertical="center"/>
    </xf>
    <xf numFmtId="0" fontId="4" fillId="3" borderId="15" xfId="0" applyFont="1" applyFill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0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4" fillId="3" borderId="26" xfId="0" applyFont="1" applyFill="1" applyBorder="1">
      <alignment vertical="center"/>
    </xf>
    <xf numFmtId="176" fontId="0" fillId="0" borderId="2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4" borderId="5" xfId="0" applyNumberFormat="1" applyFill="1" applyBorder="1">
      <alignment vertical="center"/>
    </xf>
    <xf numFmtId="176" fontId="0" fillId="4" borderId="7" xfId="0" applyNumberFormat="1" applyFill="1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stockChart>
        <c:ser>
          <c:idx val="0"/>
          <c:order val="0"/>
          <c:spPr>
            <a:ln w="28575">
              <a:noFill/>
            </a:ln>
          </c:spPr>
          <c:marker>
            <c:symbol val="none"/>
          </c:marker>
          <c:cat>
            <c:numRef>
              <c:f>MinBar!$A$3:$A$301</c:f>
              <c:numCache>
                <c:formatCode>h:mm:ss;@</c:formatCode>
                <c:ptCount val="299"/>
                <c:pt idx="0">
                  <c:v>0.3659722222222222</c:v>
                </c:pt>
                <c:pt idx="1">
                  <c:v>0.3666666666666667</c:v>
                </c:pt>
                <c:pt idx="2">
                  <c:v>0.36736111111111108</c:v>
                </c:pt>
                <c:pt idx="3">
                  <c:v>0.36805555555555558</c:v>
                </c:pt>
                <c:pt idx="4">
                  <c:v>0.36874999999999997</c:v>
                </c:pt>
                <c:pt idx="5">
                  <c:v>0.36944444444444446</c:v>
                </c:pt>
                <c:pt idx="6">
                  <c:v>0.37013888888888885</c:v>
                </c:pt>
                <c:pt idx="7">
                  <c:v>0.37083333333333335</c:v>
                </c:pt>
                <c:pt idx="8">
                  <c:v>0.37152777777777773</c:v>
                </c:pt>
                <c:pt idx="9">
                  <c:v>0.37222222222222223</c:v>
                </c:pt>
                <c:pt idx="10">
                  <c:v>0.37291666666666662</c:v>
                </c:pt>
                <c:pt idx="11">
                  <c:v>0.37361111111111112</c:v>
                </c:pt>
                <c:pt idx="12">
                  <c:v>0.3743055555555555</c:v>
                </c:pt>
                <c:pt idx="13">
                  <c:v>0.375</c:v>
                </c:pt>
                <c:pt idx="14">
                  <c:v>0.3756944444444445</c:v>
                </c:pt>
                <c:pt idx="15">
                  <c:v>0.37638888888888888</c:v>
                </c:pt>
                <c:pt idx="16">
                  <c:v>0.37708333333333338</c:v>
                </c:pt>
                <c:pt idx="17">
                  <c:v>0.37777777777777777</c:v>
                </c:pt>
                <c:pt idx="18">
                  <c:v>0.37847222222222227</c:v>
                </c:pt>
                <c:pt idx="19">
                  <c:v>0.37916666666666665</c:v>
                </c:pt>
                <c:pt idx="20">
                  <c:v>0.37986111111111115</c:v>
                </c:pt>
              </c:numCache>
            </c:numRef>
          </c:cat>
          <c:val>
            <c:numRef>
              <c:f>MinBar!$B$3:$B$126</c:f>
              <c:numCache>
                <c:formatCode>General</c:formatCode>
                <c:ptCount val="124"/>
                <c:pt idx="0">
                  <c:v>4443</c:v>
                </c:pt>
                <c:pt idx="1">
                  <c:v>4453</c:v>
                </c:pt>
                <c:pt idx="2">
                  <c:v>4456</c:v>
                </c:pt>
                <c:pt idx="3">
                  <c:v>4453</c:v>
                </c:pt>
                <c:pt idx="4">
                  <c:v>4450</c:v>
                </c:pt>
                <c:pt idx="5">
                  <c:v>4450</c:v>
                </c:pt>
                <c:pt idx="6">
                  <c:v>4451</c:v>
                </c:pt>
                <c:pt idx="7">
                  <c:v>4453</c:v>
                </c:pt>
                <c:pt idx="8">
                  <c:v>4455</c:v>
                </c:pt>
                <c:pt idx="9">
                  <c:v>4453</c:v>
                </c:pt>
                <c:pt idx="10">
                  <c:v>4454</c:v>
                </c:pt>
                <c:pt idx="11">
                  <c:v>4456</c:v>
                </c:pt>
                <c:pt idx="12">
                  <c:v>4456</c:v>
                </c:pt>
                <c:pt idx="13">
                  <c:v>4458</c:v>
                </c:pt>
                <c:pt idx="14">
                  <c:v>4460</c:v>
                </c:pt>
                <c:pt idx="15">
                  <c:v>4464</c:v>
                </c:pt>
                <c:pt idx="16">
                  <c:v>4458</c:v>
                </c:pt>
                <c:pt idx="17">
                  <c:v>4456</c:v>
                </c:pt>
                <c:pt idx="18">
                  <c:v>4457</c:v>
                </c:pt>
                <c:pt idx="19">
                  <c:v>4460</c:v>
                </c:pt>
                <c:pt idx="20">
                  <c:v>4458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cat>
            <c:numRef>
              <c:f>MinBar!$A$3:$A$301</c:f>
              <c:numCache>
                <c:formatCode>h:mm:ss;@</c:formatCode>
                <c:ptCount val="299"/>
                <c:pt idx="0">
                  <c:v>0.3659722222222222</c:v>
                </c:pt>
                <c:pt idx="1">
                  <c:v>0.3666666666666667</c:v>
                </c:pt>
                <c:pt idx="2">
                  <c:v>0.36736111111111108</c:v>
                </c:pt>
                <c:pt idx="3">
                  <c:v>0.36805555555555558</c:v>
                </c:pt>
                <c:pt idx="4">
                  <c:v>0.36874999999999997</c:v>
                </c:pt>
                <c:pt idx="5">
                  <c:v>0.36944444444444446</c:v>
                </c:pt>
                <c:pt idx="6">
                  <c:v>0.37013888888888885</c:v>
                </c:pt>
                <c:pt idx="7">
                  <c:v>0.37083333333333335</c:v>
                </c:pt>
                <c:pt idx="8">
                  <c:v>0.37152777777777773</c:v>
                </c:pt>
                <c:pt idx="9">
                  <c:v>0.37222222222222223</c:v>
                </c:pt>
                <c:pt idx="10">
                  <c:v>0.37291666666666662</c:v>
                </c:pt>
                <c:pt idx="11">
                  <c:v>0.37361111111111112</c:v>
                </c:pt>
                <c:pt idx="12">
                  <c:v>0.3743055555555555</c:v>
                </c:pt>
                <c:pt idx="13">
                  <c:v>0.375</c:v>
                </c:pt>
                <c:pt idx="14">
                  <c:v>0.3756944444444445</c:v>
                </c:pt>
                <c:pt idx="15">
                  <c:v>0.37638888888888888</c:v>
                </c:pt>
                <c:pt idx="16">
                  <c:v>0.37708333333333338</c:v>
                </c:pt>
                <c:pt idx="17">
                  <c:v>0.37777777777777777</c:v>
                </c:pt>
                <c:pt idx="18">
                  <c:v>0.37847222222222227</c:v>
                </c:pt>
                <c:pt idx="19">
                  <c:v>0.37916666666666665</c:v>
                </c:pt>
                <c:pt idx="20">
                  <c:v>0.37986111111111115</c:v>
                </c:pt>
              </c:numCache>
            </c:numRef>
          </c:cat>
          <c:val>
            <c:numRef>
              <c:f>MinBar!$C$3:$C$126</c:f>
              <c:numCache>
                <c:formatCode>General</c:formatCode>
                <c:ptCount val="124"/>
                <c:pt idx="0">
                  <c:v>4453</c:v>
                </c:pt>
                <c:pt idx="1">
                  <c:v>4458</c:v>
                </c:pt>
                <c:pt idx="2">
                  <c:v>4456</c:v>
                </c:pt>
                <c:pt idx="3">
                  <c:v>4454</c:v>
                </c:pt>
                <c:pt idx="4">
                  <c:v>4451</c:v>
                </c:pt>
                <c:pt idx="5">
                  <c:v>4453</c:v>
                </c:pt>
                <c:pt idx="6">
                  <c:v>4453</c:v>
                </c:pt>
                <c:pt idx="7">
                  <c:v>4457</c:v>
                </c:pt>
                <c:pt idx="8">
                  <c:v>4456</c:v>
                </c:pt>
                <c:pt idx="9">
                  <c:v>4455</c:v>
                </c:pt>
                <c:pt idx="10">
                  <c:v>4456</c:v>
                </c:pt>
                <c:pt idx="11">
                  <c:v>4457</c:v>
                </c:pt>
                <c:pt idx="12">
                  <c:v>4458</c:v>
                </c:pt>
                <c:pt idx="13">
                  <c:v>4461</c:v>
                </c:pt>
                <c:pt idx="14">
                  <c:v>4465</c:v>
                </c:pt>
                <c:pt idx="15">
                  <c:v>4464</c:v>
                </c:pt>
                <c:pt idx="16">
                  <c:v>4458</c:v>
                </c:pt>
                <c:pt idx="17">
                  <c:v>4457</c:v>
                </c:pt>
                <c:pt idx="18">
                  <c:v>4462</c:v>
                </c:pt>
                <c:pt idx="19">
                  <c:v>4462</c:v>
                </c:pt>
                <c:pt idx="20">
                  <c:v>4458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cat>
            <c:numRef>
              <c:f>MinBar!$A$3:$A$301</c:f>
              <c:numCache>
                <c:formatCode>h:mm:ss;@</c:formatCode>
                <c:ptCount val="299"/>
                <c:pt idx="0">
                  <c:v>0.3659722222222222</c:v>
                </c:pt>
                <c:pt idx="1">
                  <c:v>0.3666666666666667</c:v>
                </c:pt>
                <c:pt idx="2">
                  <c:v>0.36736111111111108</c:v>
                </c:pt>
                <c:pt idx="3">
                  <c:v>0.36805555555555558</c:v>
                </c:pt>
                <c:pt idx="4">
                  <c:v>0.36874999999999997</c:v>
                </c:pt>
                <c:pt idx="5">
                  <c:v>0.36944444444444446</c:v>
                </c:pt>
                <c:pt idx="6">
                  <c:v>0.37013888888888885</c:v>
                </c:pt>
                <c:pt idx="7">
                  <c:v>0.37083333333333335</c:v>
                </c:pt>
                <c:pt idx="8">
                  <c:v>0.37152777777777773</c:v>
                </c:pt>
                <c:pt idx="9">
                  <c:v>0.37222222222222223</c:v>
                </c:pt>
                <c:pt idx="10">
                  <c:v>0.37291666666666662</c:v>
                </c:pt>
                <c:pt idx="11">
                  <c:v>0.37361111111111112</c:v>
                </c:pt>
                <c:pt idx="12">
                  <c:v>0.3743055555555555</c:v>
                </c:pt>
                <c:pt idx="13">
                  <c:v>0.375</c:v>
                </c:pt>
                <c:pt idx="14">
                  <c:v>0.3756944444444445</c:v>
                </c:pt>
                <c:pt idx="15">
                  <c:v>0.37638888888888888</c:v>
                </c:pt>
                <c:pt idx="16">
                  <c:v>0.37708333333333338</c:v>
                </c:pt>
                <c:pt idx="17">
                  <c:v>0.37777777777777777</c:v>
                </c:pt>
                <c:pt idx="18">
                  <c:v>0.37847222222222227</c:v>
                </c:pt>
                <c:pt idx="19">
                  <c:v>0.37916666666666665</c:v>
                </c:pt>
                <c:pt idx="20">
                  <c:v>0.37986111111111115</c:v>
                </c:pt>
              </c:numCache>
            </c:numRef>
          </c:cat>
          <c:val>
            <c:numRef>
              <c:f>MinBar!$D$3:$D$126</c:f>
              <c:numCache>
                <c:formatCode>General</c:formatCode>
                <c:ptCount val="124"/>
                <c:pt idx="0">
                  <c:v>4443</c:v>
                </c:pt>
                <c:pt idx="1">
                  <c:v>4450</c:v>
                </c:pt>
                <c:pt idx="2">
                  <c:v>4451</c:v>
                </c:pt>
                <c:pt idx="3">
                  <c:v>4450</c:v>
                </c:pt>
                <c:pt idx="4">
                  <c:v>4447</c:v>
                </c:pt>
                <c:pt idx="5">
                  <c:v>4449</c:v>
                </c:pt>
                <c:pt idx="6">
                  <c:v>4451</c:v>
                </c:pt>
                <c:pt idx="7">
                  <c:v>4453</c:v>
                </c:pt>
                <c:pt idx="8">
                  <c:v>4453</c:v>
                </c:pt>
                <c:pt idx="9">
                  <c:v>4452</c:v>
                </c:pt>
                <c:pt idx="10">
                  <c:v>4452</c:v>
                </c:pt>
                <c:pt idx="11">
                  <c:v>4454</c:v>
                </c:pt>
                <c:pt idx="12">
                  <c:v>4456</c:v>
                </c:pt>
                <c:pt idx="13">
                  <c:v>4457</c:v>
                </c:pt>
                <c:pt idx="14">
                  <c:v>4459</c:v>
                </c:pt>
                <c:pt idx="15">
                  <c:v>4456</c:v>
                </c:pt>
                <c:pt idx="16">
                  <c:v>4454</c:v>
                </c:pt>
                <c:pt idx="17">
                  <c:v>4453</c:v>
                </c:pt>
                <c:pt idx="18">
                  <c:v>4456</c:v>
                </c:pt>
                <c:pt idx="19">
                  <c:v>4456</c:v>
                </c:pt>
                <c:pt idx="20">
                  <c:v>4450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</c:numCache>
            </c:numRef>
          </c:val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cat>
            <c:numRef>
              <c:f>MinBar!$A$3:$A$301</c:f>
              <c:numCache>
                <c:formatCode>h:mm:ss;@</c:formatCode>
                <c:ptCount val="299"/>
                <c:pt idx="0">
                  <c:v>0.3659722222222222</c:v>
                </c:pt>
                <c:pt idx="1">
                  <c:v>0.3666666666666667</c:v>
                </c:pt>
                <c:pt idx="2">
                  <c:v>0.36736111111111108</c:v>
                </c:pt>
                <c:pt idx="3">
                  <c:v>0.36805555555555558</c:v>
                </c:pt>
                <c:pt idx="4">
                  <c:v>0.36874999999999997</c:v>
                </c:pt>
                <c:pt idx="5">
                  <c:v>0.36944444444444446</c:v>
                </c:pt>
                <c:pt idx="6">
                  <c:v>0.37013888888888885</c:v>
                </c:pt>
                <c:pt idx="7">
                  <c:v>0.37083333333333335</c:v>
                </c:pt>
                <c:pt idx="8">
                  <c:v>0.37152777777777773</c:v>
                </c:pt>
                <c:pt idx="9">
                  <c:v>0.37222222222222223</c:v>
                </c:pt>
                <c:pt idx="10">
                  <c:v>0.37291666666666662</c:v>
                </c:pt>
                <c:pt idx="11">
                  <c:v>0.37361111111111112</c:v>
                </c:pt>
                <c:pt idx="12">
                  <c:v>0.3743055555555555</c:v>
                </c:pt>
                <c:pt idx="13">
                  <c:v>0.375</c:v>
                </c:pt>
                <c:pt idx="14">
                  <c:v>0.3756944444444445</c:v>
                </c:pt>
                <c:pt idx="15">
                  <c:v>0.37638888888888888</c:v>
                </c:pt>
                <c:pt idx="16">
                  <c:v>0.37708333333333338</c:v>
                </c:pt>
                <c:pt idx="17">
                  <c:v>0.37777777777777777</c:v>
                </c:pt>
                <c:pt idx="18">
                  <c:v>0.37847222222222227</c:v>
                </c:pt>
                <c:pt idx="19">
                  <c:v>0.37916666666666665</c:v>
                </c:pt>
                <c:pt idx="20">
                  <c:v>0.37986111111111115</c:v>
                </c:pt>
              </c:numCache>
            </c:numRef>
          </c:cat>
          <c:val>
            <c:numRef>
              <c:f>MinBar!$E$3:$E$126</c:f>
              <c:numCache>
                <c:formatCode>General</c:formatCode>
                <c:ptCount val="124"/>
                <c:pt idx="0">
                  <c:v>4452</c:v>
                </c:pt>
                <c:pt idx="1">
                  <c:v>4454</c:v>
                </c:pt>
                <c:pt idx="2">
                  <c:v>4453</c:v>
                </c:pt>
                <c:pt idx="3">
                  <c:v>4450</c:v>
                </c:pt>
                <c:pt idx="4">
                  <c:v>4450</c:v>
                </c:pt>
                <c:pt idx="5">
                  <c:v>4451</c:v>
                </c:pt>
                <c:pt idx="6">
                  <c:v>4453</c:v>
                </c:pt>
                <c:pt idx="7">
                  <c:v>4456</c:v>
                </c:pt>
                <c:pt idx="8">
                  <c:v>4453</c:v>
                </c:pt>
                <c:pt idx="9">
                  <c:v>4454</c:v>
                </c:pt>
                <c:pt idx="10">
                  <c:v>4455</c:v>
                </c:pt>
                <c:pt idx="11">
                  <c:v>4456</c:v>
                </c:pt>
                <c:pt idx="12">
                  <c:v>4458</c:v>
                </c:pt>
                <c:pt idx="13">
                  <c:v>4460</c:v>
                </c:pt>
                <c:pt idx="14">
                  <c:v>4463</c:v>
                </c:pt>
                <c:pt idx="15">
                  <c:v>4459</c:v>
                </c:pt>
                <c:pt idx="16">
                  <c:v>4456</c:v>
                </c:pt>
                <c:pt idx="17">
                  <c:v>4456</c:v>
                </c:pt>
                <c:pt idx="18">
                  <c:v>4461</c:v>
                </c:pt>
                <c:pt idx="19">
                  <c:v>4458</c:v>
                </c:pt>
                <c:pt idx="20">
                  <c:v>4453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</c:numCache>
            </c:numRef>
          </c:val>
        </c:ser>
        <c:hiLowLines/>
        <c:upDownBars>
          <c:gapWidth val="150"/>
          <c:upBars/>
          <c:downBars/>
        </c:upDownBars>
        <c:axId val="102330752"/>
        <c:axId val="102332288"/>
      </c:stockChart>
      <c:catAx>
        <c:axId val="102330752"/>
        <c:scaling>
          <c:orientation val="minMax"/>
        </c:scaling>
        <c:axPos val="b"/>
        <c:numFmt formatCode="h:mm:ss;@" sourceLinked="1"/>
        <c:tickLblPos val="nextTo"/>
        <c:crossAx val="102332288"/>
        <c:crosses val="autoZero"/>
        <c:auto val="1"/>
        <c:lblAlgn val="ctr"/>
        <c:lblOffset val="100"/>
      </c:catAx>
      <c:valAx>
        <c:axId val="102332288"/>
        <c:scaling>
          <c:orientation val="minMax"/>
          <c:max val="4800"/>
          <c:min val="4150"/>
        </c:scaling>
        <c:axPos val="l"/>
        <c:majorGridlines/>
        <c:numFmt formatCode="General" sourceLinked="1"/>
        <c:tickLblPos val="nextTo"/>
        <c:crossAx val="102330752"/>
        <c:crosses val="autoZero"/>
        <c:crossBetween val="between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0</xdr:row>
      <xdr:rowOff>19049</xdr:rowOff>
    </xdr:from>
    <xdr:to>
      <xdr:col>22</xdr:col>
      <xdr:colOff>569310</xdr:colOff>
      <xdr:row>25</xdr:row>
      <xdr:rowOff>197069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externalLink1.xml><?xml version="1.0" encoding="utf-8"?>
<externalLink xmlns="http://schemas.openxmlformats.org/spreadsheetml/2006/main">
  <ddeLink xmlns:r="http://schemas.openxmlformats.org/officeDocument/2006/relationships" ddeService="TS" ddeTopic="KS">
    <ddeItems>
      <ddeItem name="EXFB9.123" advise="1">
        <values>
          <value>
            <val>94852</val>
          </value>
        </values>
      </ddeItem>
      <ddeItem name="EXFB9.124" advise="1">
        <values>
          <value>
            <val>180</val>
          </value>
        </values>
      </ddeItem>
      <ddeItem name="EXFB9.125" advise="1">
        <values>
          <value>
            <val>-0.4</val>
          </value>
        </values>
      </ddeItem>
      <ddeItem name="EXFB9.128" advise="1">
        <values>
          <value>
            <val>1</val>
          </value>
        </values>
      </ddeItem>
      <ddeItem name="EXFB9.130" advise="1">
        <values>
          <value>
            <val>179.8</val>
          </value>
        </values>
      </ddeItem>
      <ddeItem name="EXFB9.131" advise="1">
        <values>
          <value>
            <val>181.8</val>
          </value>
        </values>
      </ddeItem>
      <ddeItem name="EXFB9.132" advise="1">
        <values>
          <value>
            <val>178</val>
          </value>
        </values>
      </ddeItem>
      <ddeItem name="EXFB9.133" advise="1">
        <values>
          <value>
            <val>667</val>
          </value>
        </values>
      </ddeItem>
      <ddeItem name="FXFB9.123" advise="1">
        <values>
          <value>
            <val>94908</val>
          </value>
        </values>
      </ddeItem>
      <ddeItem name="FXFB9.124" advise="1">
        <values>
          <value>
            <val>495.8</val>
          </value>
        </values>
      </ddeItem>
      <ddeItem name="FXFB9.125" advise="1">
        <values>
          <value>
            <val>-6.2</val>
          </value>
        </values>
      </ddeItem>
      <ddeItem name="FXFB9.128" advise="1">
        <values>
          <value>
            <val>2</val>
          </value>
        </values>
      </ddeItem>
      <ddeItem name="FXFB9.130" advise="1">
        <values>
          <value>
            <val>492</val>
          </value>
        </values>
      </ddeItem>
      <ddeItem name="FXFB9.131" advise="1">
        <values>
          <value>
            <val>499.2</val>
          </value>
        </values>
      </ddeItem>
      <ddeItem name="FXFB9.132" advise="1">
        <values>
          <value>
            <val>490.2</val>
          </value>
        </values>
      </ddeItem>
      <ddeItem name="FXFB9.133" advise="1">
        <values>
          <value>
            <val>644</val>
          </value>
        </values>
      </ddeItem>
      <ddeItem name="GTFB9.123" advise="1">
        <values>
          <value>
            <val>0</val>
          </value>
        </values>
      </ddeItem>
      <ddeItem name="GTFB9.124" advise="1">
        <values>
          <value t="str">
            <val xml:space="preserve"> </val>
          </value>
        </values>
      </ddeItem>
      <ddeItem name="GTFB9.125" advise="1">
        <values>
          <value>
            <val>0</val>
          </value>
        </values>
      </ddeItem>
      <ddeItem name="GTFB9.128" advise="1">
        <values>
          <value>
            <val>0</val>
          </value>
        </values>
      </ddeItem>
      <ddeItem name="GTFB9.130" advise="1">
        <values>
          <value t="str">
            <val xml:space="preserve"> </val>
          </value>
        </values>
      </ddeItem>
      <ddeItem name="GTFB9.131" advise="1">
        <values>
          <value t="str">
            <val xml:space="preserve"> </val>
          </value>
        </values>
      </ddeItem>
      <ddeItem name="GTFB9.132" advise="1">
        <values>
          <value t="str">
            <val xml:space="preserve"> </val>
          </value>
        </values>
      </ddeItem>
      <ddeItem name="GTFB9.133" advise="1">
        <values>
          <value>
            <val>0</val>
          </value>
        </values>
      </ddeItem>
      <ddeItem name="MXFB9.123" advise="1">
        <values>
          <value>
            <val>94945</val>
          </value>
        </values>
      </ddeItem>
      <ddeItem name="MXFB9.124" advise="1">
        <values>
          <value>
            <val>4460</val>
          </value>
        </values>
      </ddeItem>
      <ddeItem name="MXFB9.125" advise="1">
        <values>
          <value>
            <val>-32</val>
          </value>
        </values>
      </ddeItem>
      <ddeItem name="MXFB9.128" advise="1">
        <values>
          <value>
            <val>1</val>
          </value>
        </values>
      </ddeItem>
      <ddeItem name="MXFB9.130" advise="1">
        <values>
          <value>
            <val>4462</val>
          </value>
        </values>
      </ddeItem>
      <ddeItem name="MXFB9.131" advise="1">
        <values>
          <value>
            <val>4489</val>
          </value>
        </values>
      </ddeItem>
      <ddeItem name="MXFB9.132" advise="1">
        <values>
          <value>
            <val>4422</val>
          </value>
        </values>
      </ddeItem>
      <ddeItem name="MXFB9.133" advise="1">
        <values>
          <value>
            <val>7395</val>
          </value>
        </values>
      </ddeItem>
      <ddeItem name="StdDocumentName" ole="1" advise="1"/>
      <ddeItem name="TXFB9.123" advise="1">
        <values>
          <value>
            <val>94952</val>
          </value>
        </values>
      </ddeItem>
      <ddeItem name="TXFB9.124" advise="1">
        <values>
          <value>
            <val>4459</val>
          </value>
        </values>
      </ddeItem>
      <ddeItem name="TXFB9.125" advise="1">
        <values>
          <value>
            <val>-33</val>
          </value>
        </values>
      </ddeItem>
      <ddeItem name="TXFB9.128" advise="1">
        <values>
          <value>
            <val>1</val>
          </value>
        </values>
      </ddeItem>
      <ddeItem name="TXFB9.130" advise="1">
        <values>
          <value>
            <val>4455</val>
          </value>
        </values>
      </ddeItem>
      <ddeItem name="TXFB9.131" advise="1">
        <values>
          <value>
            <val>4486</val>
          </value>
        </values>
      </ddeItem>
      <ddeItem name="TXFB9.132" advise="1">
        <values>
          <value>
            <val>4426</val>
          </value>
        </values>
      </ddeItem>
      <ddeItem name="TXFB9.133" advise="1">
        <values>
          <value>
            <val>17060</val>
          </value>
        </values>
      </ddeItem>
      <ddeItem name="XIFB9.123" advise="1">
        <values>
          <value>
            <val>94739</val>
          </value>
        </values>
      </ddeItem>
      <ddeItem name="XIFB9.124" advise="1">
        <values>
          <value>
            <val>5474</val>
          </value>
        </values>
      </ddeItem>
      <ddeItem name="XIFB9.125" advise="1">
        <values>
          <value>
            <val>-51</val>
          </value>
        </values>
      </ddeItem>
      <ddeItem name="XIFB9.128" advise="1">
        <values>
          <value>
            <val>1</val>
          </value>
        </values>
      </ddeItem>
      <ddeItem name="XIFB9.130" advise="1">
        <values>
          <value>
            <val>5401</val>
          </value>
        </values>
      </ddeItem>
      <ddeItem name="XIFB9.131" advise="1">
        <values>
          <value>
            <val>5492</val>
          </value>
        </values>
      </ddeItem>
      <ddeItem name="XIFB9.132" advise="1">
        <values>
          <value>
            <val>5401</val>
          </value>
        </values>
      </ddeItem>
      <ddeItem name="XIFB9.133" advise="1">
        <values>
          <value>
            <val>167</val>
          </value>
        </values>
      </ddeItem>
    </ddeItems>
  </ddeLin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7"/>
  <sheetViews>
    <sheetView workbookViewId="0">
      <selection activeCell="I14" sqref="I14"/>
    </sheetView>
  </sheetViews>
  <sheetFormatPr defaultRowHeight="16.5"/>
  <cols>
    <col min="8" max="8" width="7.5" bestFit="1" customWidth="1"/>
  </cols>
  <sheetData>
    <row r="1" spans="1:8">
      <c r="A1" s="38" t="s">
        <v>0</v>
      </c>
      <c r="B1" s="39" t="s">
        <v>1</v>
      </c>
      <c r="C1" s="39" t="s">
        <v>2</v>
      </c>
      <c r="D1" s="39" t="s">
        <v>3</v>
      </c>
      <c r="E1" s="39" t="s">
        <v>4</v>
      </c>
      <c r="F1" s="39" t="s">
        <v>5</v>
      </c>
      <c r="G1" s="39" t="s">
        <v>6</v>
      </c>
      <c r="H1" s="40" t="s">
        <v>7</v>
      </c>
    </row>
    <row r="2" spans="1:8">
      <c r="A2" s="36">
        <f>[1]!TXFB9.123</f>
        <v>94952</v>
      </c>
      <c r="B2" s="1">
        <f>[1]!TXFB9.124</f>
        <v>4459</v>
      </c>
      <c r="C2" s="1">
        <f>[1]!TXFB9.125</f>
        <v>-33</v>
      </c>
      <c r="D2" s="1">
        <f>[1]!TXFB9.128</f>
        <v>1</v>
      </c>
      <c r="E2" s="1">
        <f>[1]!TXFB9.130</f>
        <v>4455</v>
      </c>
      <c r="F2" s="1">
        <f>[1]!TXFB9.131</f>
        <v>4486</v>
      </c>
      <c r="G2" s="1">
        <f>[1]!TXFB9.132</f>
        <v>4426</v>
      </c>
      <c r="H2" s="4">
        <f>[1]!TXFB9.133</f>
        <v>17060</v>
      </c>
    </row>
    <row r="3" spans="1:8">
      <c r="A3" s="36">
        <f>[1]!FXFB9.123</f>
        <v>94908</v>
      </c>
      <c r="B3" s="1">
        <f>[1]!FXFB9.124</f>
        <v>495.8</v>
      </c>
      <c r="C3" s="1">
        <f>[1]!FXFB9.125</f>
        <v>-6.2</v>
      </c>
      <c r="D3" s="1">
        <f>[1]!FXFB9.128</f>
        <v>2</v>
      </c>
      <c r="E3" s="1">
        <f>[1]!FXFB9.130</f>
        <v>492</v>
      </c>
      <c r="F3" s="1">
        <f>[1]!FXFB9.131</f>
        <v>499.2</v>
      </c>
      <c r="G3" s="1">
        <f>[1]!FXFB9.132</f>
        <v>490.2</v>
      </c>
      <c r="H3" s="4">
        <f>[1]!FXFB9.133</f>
        <v>644</v>
      </c>
    </row>
    <row r="4" spans="1:8">
      <c r="A4" s="36">
        <f>[1]!EXFB9.123</f>
        <v>94852</v>
      </c>
      <c r="B4" s="1">
        <f>[1]!EXFB9.124</f>
        <v>180</v>
      </c>
      <c r="C4" s="1">
        <f>[1]!EXFB9.125</f>
        <v>-0.4</v>
      </c>
      <c r="D4" s="1">
        <f>[1]!EXFB9.128</f>
        <v>1</v>
      </c>
      <c r="E4" s="1">
        <f>[1]!EXFB9.130</f>
        <v>179.8</v>
      </c>
      <c r="F4" s="1">
        <f>[1]!EXFB9.131</f>
        <v>181.8</v>
      </c>
      <c r="G4" s="1">
        <f>[1]!EXFB9.132</f>
        <v>178</v>
      </c>
      <c r="H4" s="4">
        <f>[1]!EXFB9.133</f>
        <v>667</v>
      </c>
    </row>
    <row r="5" spans="1:8">
      <c r="A5" s="36">
        <f>[1]!MXFB9.123</f>
        <v>94945</v>
      </c>
      <c r="B5" s="1">
        <f>[1]!MXFB9.124</f>
        <v>4460</v>
      </c>
      <c r="C5" s="1">
        <f>[1]!MXFB9.125</f>
        <v>-32</v>
      </c>
      <c r="D5" s="1">
        <f>[1]!MXFB9.128</f>
        <v>1</v>
      </c>
      <c r="E5" s="1">
        <f>[1]!MXFB9.130</f>
        <v>4462</v>
      </c>
      <c r="F5" s="1">
        <f>[1]!MXFB9.131</f>
        <v>4489</v>
      </c>
      <c r="G5" s="1">
        <f>[1]!MXFB9.132</f>
        <v>4422</v>
      </c>
      <c r="H5" s="4">
        <f>[1]!MXFB9.133</f>
        <v>7395</v>
      </c>
    </row>
    <row r="6" spans="1:8">
      <c r="A6" s="36">
        <f>[1]!XIFB9.123</f>
        <v>94739</v>
      </c>
      <c r="B6" s="1">
        <f>[1]!XIFB9.124</f>
        <v>5474</v>
      </c>
      <c r="C6" s="1">
        <f>[1]!XIFB9.125</f>
        <v>-51</v>
      </c>
      <c r="D6" s="1">
        <f>[1]!XIFB9.128</f>
        <v>1</v>
      </c>
      <c r="E6" s="1">
        <f>[1]!XIFB9.130</f>
        <v>5401</v>
      </c>
      <c r="F6" s="1">
        <f>[1]!XIFB9.131</f>
        <v>5492</v>
      </c>
      <c r="G6" s="1">
        <f>[1]!XIFB9.132</f>
        <v>5401</v>
      </c>
      <c r="H6" s="4">
        <f>[1]!XIFB9.133</f>
        <v>167</v>
      </c>
    </row>
    <row r="7" spans="1:8" ht="17.25" thickBot="1">
      <c r="A7" s="37">
        <f>[1]!GTFB9.123</f>
        <v>0</v>
      </c>
      <c r="B7" s="5" t="str">
        <f>[1]!GTFB9.124</f>
        <v xml:space="preserve"> </v>
      </c>
      <c r="C7" s="5">
        <f>[1]!GTFB9.125</f>
        <v>0</v>
      </c>
      <c r="D7" s="5">
        <f>[1]!GTFB9.128</f>
        <v>0</v>
      </c>
      <c r="E7" s="5" t="str">
        <f>[1]!GTFB9.130</f>
        <v xml:space="preserve"> </v>
      </c>
      <c r="F7" s="5" t="str">
        <f>[1]!GTFB9.131</f>
        <v xml:space="preserve"> </v>
      </c>
      <c r="G7" s="5" t="str">
        <f>[1]!GTFB9.132</f>
        <v xml:space="preserve"> </v>
      </c>
      <c r="H7" s="6">
        <f>[1]!GTFB9.133</f>
        <v>0</v>
      </c>
    </row>
  </sheetData>
  <phoneticPr fontId="1" type="noConversion"/>
  <pageMargins left="0.7" right="0.7" top="0.75" bottom="0.75" header="0.3" footer="0.3"/>
  <pageSetup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J301"/>
  <sheetViews>
    <sheetView tabSelected="1" topLeftCell="A233" zoomScale="80" zoomScaleNormal="80" workbookViewId="0">
      <selection activeCell="M292" sqref="M292"/>
    </sheetView>
  </sheetViews>
  <sheetFormatPr defaultRowHeight="16.5"/>
  <cols>
    <col min="1" max="1" width="8.875" customWidth="1"/>
    <col min="6" max="6" width="11.125" customWidth="1"/>
    <col min="10" max="10" width="16.25" customWidth="1"/>
  </cols>
  <sheetData>
    <row r="1" spans="1:10" ht="17.25" thickBot="1">
      <c r="A1" s="7" t="s">
        <v>10</v>
      </c>
      <c r="B1" s="8" t="s">
        <v>11</v>
      </c>
      <c r="C1" s="8" t="s">
        <v>12</v>
      </c>
      <c r="D1" s="8" t="s">
        <v>13</v>
      </c>
      <c r="E1" s="8" t="s">
        <v>14</v>
      </c>
      <c r="F1" s="8" t="s">
        <v>15</v>
      </c>
      <c r="G1" s="8" t="s">
        <v>8</v>
      </c>
      <c r="H1" s="8" t="s">
        <v>9</v>
      </c>
      <c r="I1" s="8" t="s">
        <v>16</v>
      </c>
      <c r="J1" s="9" t="s">
        <v>17</v>
      </c>
    </row>
    <row r="2" spans="1:10" ht="17.25" hidden="1" thickBot="1">
      <c r="A2" s="10">
        <v>0.36527777777777781</v>
      </c>
      <c r="B2" s="11">
        <v>0</v>
      </c>
      <c r="C2" s="11">
        <v>4465</v>
      </c>
      <c r="D2" s="11">
        <v>0</v>
      </c>
      <c r="E2" s="11">
        <v>4442</v>
      </c>
      <c r="F2" s="11">
        <v>111</v>
      </c>
      <c r="G2" s="20">
        <v>6</v>
      </c>
      <c r="H2" s="20">
        <v>12</v>
      </c>
      <c r="I2" s="20"/>
      <c r="J2" s="21"/>
    </row>
    <row r="3" spans="1:10">
      <c r="A3" s="12">
        <v>0.3659722222222222</v>
      </c>
      <c r="B3" s="13">
        <v>4443</v>
      </c>
      <c r="C3" s="13">
        <v>4453</v>
      </c>
      <c r="D3" s="13">
        <v>4443</v>
      </c>
      <c r="E3" s="13">
        <v>4452</v>
      </c>
      <c r="F3" s="19">
        <v>86</v>
      </c>
      <c r="G3" s="23"/>
      <c r="H3" s="24"/>
      <c r="I3" s="24"/>
      <c r="J3" s="25"/>
    </row>
    <row r="4" spans="1:10">
      <c r="A4" s="12">
        <v>0.3666666666666667</v>
      </c>
      <c r="B4" s="13">
        <v>4453</v>
      </c>
      <c r="C4" s="13">
        <v>4458</v>
      </c>
      <c r="D4" s="13">
        <v>4450</v>
      </c>
      <c r="E4" s="13">
        <v>4454</v>
      </c>
      <c r="F4" s="19">
        <v>93</v>
      </c>
      <c r="G4" s="26"/>
      <c r="H4" s="22"/>
      <c r="I4" s="22"/>
      <c r="J4" s="27"/>
    </row>
    <row r="5" spans="1:10">
      <c r="A5" s="12">
        <v>0.36736111111111108</v>
      </c>
      <c r="B5" s="13">
        <v>4456</v>
      </c>
      <c r="C5" s="13">
        <v>4456</v>
      </c>
      <c r="D5" s="13">
        <v>4451</v>
      </c>
      <c r="E5" s="13">
        <v>4453</v>
      </c>
      <c r="F5" s="19">
        <v>85</v>
      </c>
      <c r="G5" s="26"/>
      <c r="H5" s="22"/>
      <c r="I5" s="22"/>
      <c r="J5" s="27"/>
    </row>
    <row r="6" spans="1:10">
      <c r="A6" s="12">
        <v>0.36805555555555558</v>
      </c>
      <c r="B6" s="13">
        <v>4453</v>
      </c>
      <c r="C6" s="13">
        <v>4454</v>
      </c>
      <c r="D6" s="13">
        <v>4450</v>
      </c>
      <c r="E6" s="13">
        <v>4450</v>
      </c>
      <c r="F6" s="19">
        <v>124</v>
      </c>
      <c r="G6" s="26"/>
      <c r="H6" s="22"/>
      <c r="I6" s="22"/>
      <c r="J6" s="27"/>
    </row>
    <row r="7" spans="1:10">
      <c r="A7" s="12">
        <v>0.36874999999999997</v>
      </c>
      <c r="B7" s="13">
        <v>4450</v>
      </c>
      <c r="C7" s="13">
        <v>4451</v>
      </c>
      <c r="D7" s="13">
        <v>4447</v>
      </c>
      <c r="E7" s="13">
        <v>4450</v>
      </c>
      <c r="F7" s="19">
        <v>110</v>
      </c>
      <c r="G7" s="26"/>
      <c r="H7" s="22"/>
      <c r="I7" s="22"/>
      <c r="J7" s="27"/>
    </row>
    <row r="8" spans="1:10">
      <c r="A8" s="12">
        <v>0.36944444444444446</v>
      </c>
      <c r="B8" s="13">
        <v>4450</v>
      </c>
      <c r="C8" s="13">
        <v>4453</v>
      </c>
      <c r="D8" s="13">
        <v>4449</v>
      </c>
      <c r="E8" s="13">
        <v>4451</v>
      </c>
      <c r="F8" s="19">
        <v>109</v>
      </c>
      <c r="G8" s="26"/>
      <c r="H8" s="22"/>
      <c r="I8" s="22"/>
      <c r="J8" s="27"/>
    </row>
    <row r="9" spans="1:10">
      <c r="A9" s="12">
        <v>0.37013888888888885</v>
      </c>
      <c r="B9" s="13">
        <v>4451</v>
      </c>
      <c r="C9" s="13">
        <v>4453</v>
      </c>
      <c r="D9" s="13">
        <v>4451</v>
      </c>
      <c r="E9" s="13">
        <v>4453</v>
      </c>
      <c r="F9" s="19">
        <v>88</v>
      </c>
      <c r="G9" s="26"/>
      <c r="H9" s="22"/>
      <c r="I9" s="22"/>
      <c r="J9" s="27"/>
    </row>
    <row r="10" spans="1:10">
      <c r="A10" s="12">
        <v>0.37083333333333335</v>
      </c>
      <c r="B10" s="13">
        <v>4453</v>
      </c>
      <c r="C10" s="13">
        <v>4457</v>
      </c>
      <c r="D10" s="13">
        <v>4453</v>
      </c>
      <c r="E10" s="13">
        <v>4456</v>
      </c>
      <c r="F10" s="19">
        <v>97</v>
      </c>
      <c r="G10" s="26"/>
      <c r="H10" s="22"/>
      <c r="I10" s="22"/>
      <c r="J10" s="27"/>
    </row>
    <row r="11" spans="1:10">
      <c r="A11" s="12">
        <v>0.37152777777777773</v>
      </c>
      <c r="B11" s="13">
        <v>4455</v>
      </c>
      <c r="C11" s="13">
        <v>4456</v>
      </c>
      <c r="D11" s="13">
        <v>4453</v>
      </c>
      <c r="E11" s="13">
        <v>4453</v>
      </c>
      <c r="F11" s="19">
        <v>91</v>
      </c>
      <c r="G11" s="26"/>
      <c r="H11" s="22"/>
      <c r="I11" s="22"/>
      <c r="J11" s="27"/>
    </row>
    <row r="12" spans="1:10">
      <c r="A12" s="12">
        <v>0.37222222222222223</v>
      </c>
      <c r="B12" s="13">
        <v>4453</v>
      </c>
      <c r="C12" s="13">
        <v>4455</v>
      </c>
      <c r="D12" s="13">
        <v>4452</v>
      </c>
      <c r="E12" s="13">
        <v>4454</v>
      </c>
      <c r="F12" s="19">
        <v>104</v>
      </c>
      <c r="G12" s="26"/>
      <c r="H12" s="22"/>
      <c r="I12" s="22"/>
      <c r="J12" s="27"/>
    </row>
    <row r="13" spans="1:10">
      <c r="A13" s="12">
        <v>0.37291666666666662</v>
      </c>
      <c r="B13" s="13">
        <v>4454</v>
      </c>
      <c r="C13" s="13">
        <v>4456</v>
      </c>
      <c r="D13" s="13">
        <v>4452</v>
      </c>
      <c r="E13" s="13">
        <v>4455</v>
      </c>
      <c r="F13" s="19">
        <v>129</v>
      </c>
      <c r="G13" s="26"/>
      <c r="H13" s="22"/>
      <c r="I13" s="22"/>
      <c r="J13" s="27"/>
    </row>
    <row r="14" spans="1:10">
      <c r="A14" s="12">
        <v>0.37361111111111112</v>
      </c>
      <c r="B14" s="13">
        <v>4456</v>
      </c>
      <c r="C14" s="13">
        <v>4457</v>
      </c>
      <c r="D14" s="13">
        <v>4454</v>
      </c>
      <c r="E14" s="13">
        <v>4456</v>
      </c>
      <c r="F14" s="19">
        <v>137</v>
      </c>
      <c r="G14" s="26"/>
      <c r="H14" s="22"/>
      <c r="I14" s="22"/>
      <c r="J14" s="27"/>
    </row>
    <row r="15" spans="1:10">
      <c r="A15" s="12">
        <v>0.3743055555555555</v>
      </c>
      <c r="B15" s="13">
        <v>4456</v>
      </c>
      <c r="C15" s="13">
        <v>4458</v>
      </c>
      <c r="D15" s="13">
        <v>4456</v>
      </c>
      <c r="E15" s="13">
        <v>4458</v>
      </c>
      <c r="F15" s="19">
        <v>112</v>
      </c>
      <c r="G15" s="26"/>
      <c r="H15" s="22"/>
      <c r="I15" s="22"/>
      <c r="J15" s="27"/>
    </row>
    <row r="16" spans="1:10">
      <c r="A16" s="12">
        <v>0.375</v>
      </c>
      <c r="B16" s="13">
        <v>4458</v>
      </c>
      <c r="C16" s="13">
        <v>4461</v>
      </c>
      <c r="D16" s="13">
        <v>4457</v>
      </c>
      <c r="E16" s="13">
        <v>4460</v>
      </c>
      <c r="F16" s="19">
        <v>101</v>
      </c>
      <c r="G16" s="26"/>
      <c r="H16" s="22"/>
      <c r="I16" s="22"/>
      <c r="J16" s="27"/>
    </row>
    <row r="17" spans="1:10">
      <c r="A17" s="12">
        <v>0.3756944444444445</v>
      </c>
      <c r="B17" s="13">
        <v>4460</v>
      </c>
      <c r="C17" s="13">
        <v>4465</v>
      </c>
      <c r="D17" s="13">
        <v>4459</v>
      </c>
      <c r="E17" s="13">
        <v>4463</v>
      </c>
      <c r="F17" s="19">
        <v>83</v>
      </c>
      <c r="G17" s="26"/>
      <c r="H17" s="22"/>
      <c r="I17" s="22"/>
      <c r="J17" s="27"/>
    </row>
    <row r="18" spans="1:10">
      <c r="A18" s="12">
        <v>0.37638888888888888</v>
      </c>
      <c r="B18" s="13">
        <v>4464</v>
      </c>
      <c r="C18" s="13">
        <v>4464</v>
      </c>
      <c r="D18" s="13">
        <v>4456</v>
      </c>
      <c r="E18" s="13">
        <v>4459</v>
      </c>
      <c r="F18" s="19">
        <v>108</v>
      </c>
      <c r="G18" s="26"/>
      <c r="H18" s="22"/>
      <c r="I18" s="22"/>
      <c r="J18" s="27"/>
    </row>
    <row r="19" spans="1:10" ht="17.25" thickBot="1">
      <c r="A19" s="12">
        <v>0.37708333333333338</v>
      </c>
      <c r="B19" s="13">
        <v>4458</v>
      </c>
      <c r="C19" s="13">
        <v>4458</v>
      </c>
      <c r="D19" s="13">
        <v>4454</v>
      </c>
      <c r="E19" s="13">
        <v>4456</v>
      </c>
      <c r="F19" s="19">
        <v>116</v>
      </c>
      <c r="G19" s="28"/>
      <c r="H19" s="29"/>
      <c r="I19" s="29"/>
      <c r="J19" s="30"/>
    </row>
    <row r="20" spans="1:10">
      <c r="A20" s="12">
        <v>0.37777777777777777</v>
      </c>
      <c r="B20" s="13">
        <v>4456</v>
      </c>
      <c r="C20" s="13">
        <v>4457</v>
      </c>
      <c r="D20" s="13">
        <v>4453</v>
      </c>
      <c r="E20" s="13">
        <v>4456</v>
      </c>
      <c r="F20" s="19">
        <v>119</v>
      </c>
      <c r="G20" s="32">
        <f ca="1">IF(A20&lt;&gt;"",AVERAGE(E20:OFFSET(E20,-G$2+1,0)),0)</f>
        <v>4458.666666666667</v>
      </c>
      <c r="H20" s="33">
        <f ca="1">IF(A20&lt;&gt;"",AVERAGE(E20:OFFSET(E20,-H$2+1,0)),0)</f>
        <v>4456.583333333333</v>
      </c>
      <c r="I20" s="2"/>
      <c r="J20" s="3"/>
    </row>
    <row r="21" spans="1:10">
      <c r="A21" s="12">
        <v>0.37847222222222227</v>
      </c>
      <c r="B21" s="13">
        <v>4457</v>
      </c>
      <c r="C21" s="13">
        <v>4462</v>
      </c>
      <c r="D21" s="13">
        <v>4456</v>
      </c>
      <c r="E21" s="13">
        <v>4461</v>
      </c>
      <c r="F21" s="19">
        <v>114</v>
      </c>
      <c r="G21" s="34">
        <f ca="1">IF(A21&lt;&gt;"",AVERAGE(E21:OFFSET(E21,-G$2+1,0)),0)</f>
        <v>4459.166666666667</v>
      </c>
      <c r="H21" s="16">
        <f ca="1">IF(A21&lt;&gt;"",AVERAGE(E21:OFFSET(E21,-H$2+1,0)),0)</f>
        <v>4457.25</v>
      </c>
      <c r="I21" s="18">
        <f ca="1">IF(AND(G20&lt;=H20,G21&gt;H21),1,IF(AND(G20&gt;=H20,G21&lt;H21),-1,0))</f>
        <v>0</v>
      </c>
      <c r="J21" s="4" t="str">
        <f t="shared" ref="J21:J84" ca="1" si="0">IF(I21=1,"作多一口期貨",IF(I21=-1,"作空一口期貨"," "))</f>
        <v xml:space="preserve"> </v>
      </c>
    </row>
    <row r="22" spans="1:10">
      <c r="A22" s="12">
        <v>0.37916666666666665</v>
      </c>
      <c r="B22" s="13">
        <v>4460</v>
      </c>
      <c r="C22" s="13">
        <v>4462</v>
      </c>
      <c r="D22" s="13">
        <v>4456</v>
      </c>
      <c r="E22" s="13">
        <v>4458</v>
      </c>
      <c r="F22" s="19">
        <v>105</v>
      </c>
      <c r="G22" s="34">
        <f ca="1">IF(A22&lt;&gt;"",AVERAGE(E22:OFFSET(E22,-G$2+1,0)),0)</f>
        <v>4458.833333333333</v>
      </c>
      <c r="H22" s="16">
        <f ca="1">IF(A22&lt;&gt;"",AVERAGE(E22:OFFSET(E22,-H$2+1,0)),0)</f>
        <v>4457.416666666667</v>
      </c>
      <c r="I22" s="18">
        <f t="shared" ref="I22:I85" ca="1" si="1">IF(AND(G21&lt;=H21,G22&gt;H22),1,IF(AND(G21&gt;=H21,G22&lt;H22),-1,0))</f>
        <v>0</v>
      </c>
      <c r="J22" s="4" t="str">
        <f t="shared" ca="1" si="0"/>
        <v xml:space="preserve"> </v>
      </c>
    </row>
    <row r="23" spans="1:10">
      <c r="A23" s="12">
        <v>0.37986111111111115</v>
      </c>
      <c r="B23" s="13">
        <v>4458</v>
      </c>
      <c r="C23" s="13">
        <v>4458</v>
      </c>
      <c r="D23" s="13">
        <v>4450</v>
      </c>
      <c r="E23" s="13">
        <v>4453</v>
      </c>
      <c r="F23" s="19">
        <v>129</v>
      </c>
      <c r="G23" s="34">
        <f ca="1">IF(A23&lt;&gt;"",AVERAGE(E23:OFFSET(E23,-G$2+1,0)),0)</f>
        <v>4457.166666666667</v>
      </c>
      <c r="H23" s="16">
        <f ca="1">IF(A23&lt;&gt;"",AVERAGE(E23:OFFSET(E23,-H$2+1,0)),0)</f>
        <v>4457.416666666667</v>
      </c>
      <c r="I23" s="18">
        <f t="shared" ca="1" si="1"/>
        <v>-1</v>
      </c>
      <c r="J23" s="4" t="str">
        <f t="shared" ca="1" si="0"/>
        <v>作空一口期貨</v>
      </c>
    </row>
    <row r="24" spans="1:10">
      <c r="A24" s="12"/>
      <c r="B24" s="13">
        <v>0</v>
      </c>
      <c r="C24" s="13">
        <v>0</v>
      </c>
      <c r="D24" s="13">
        <v>0</v>
      </c>
      <c r="E24" s="13">
        <v>0</v>
      </c>
      <c r="F24" s="19">
        <v>0</v>
      </c>
      <c r="G24" s="34">
        <f ca="1">IF(A24&lt;&gt;"",AVERAGE(E24:OFFSET(E24,-G$2+1,0)),0)</f>
        <v>0</v>
      </c>
      <c r="H24" s="16">
        <f ca="1">IF(A24&lt;&gt;"",AVERAGE(E24:OFFSET(E24,-H$2+1,0)),0)</f>
        <v>0</v>
      </c>
      <c r="I24" s="18">
        <f t="shared" ca="1" si="1"/>
        <v>0</v>
      </c>
      <c r="J24" s="4" t="str">
        <f t="shared" ca="1" si="0"/>
        <v xml:space="preserve"> </v>
      </c>
    </row>
    <row r="25" spans="1:10">
      <c r="A25" s="12"/>
      <c r="B25" s="13">
        <v>0</v>
      </c>
      <c r="C25" s="13">
        <v>0</v>
      </c>
      <c r="D25" s="13">
        <v>0</v>
      </c>
      <c r="E25" s="13">
        <v>0</v>
      </c>
      <c r="F25" s="19">
        <v>0</v>
      </c>
      <c r="G25" s="34">
        <f ca="1">IF(A25&lt;&gt;"",AVERAGE(E25:OFFSET(E25,-G$2+1,0)),0)</f>
        <v>0</v>
      </c>
      <c r="H25" s="16">
        <f ca="1">IF(A25&lt;&gt;"",AVERAGE(E25:OFFSET(E25,-H$2+1,0)),0)</f>
        <v>0</v>
      </c>
      <c r="I25" s="18">
        <f t="shared" ca="1" si="1"/>
        <v>0</v>
      </c>
      <c r="J25" s="4" t="str">
        <f ca="1">IF(I25=1,"作多一口期貨",IF(I25=-1,"作空一口期貨"," "))</f>
        <v xml:space="preserve"> </v>
      </c>
    </row>
    <row r="26" spans="1:10">
      <c r="A26" s="12"/>
      <c r="B26" s="13">
        <v>0</v>
      </c>
      <c r="C26" s="13">
        <v>0</v>
      </c>
      <c r="D26" s="13">
        <v>0</v>
      </c>
      <c r="E26" s="13">
        <v>0</v>
      </c>
      <c r="F26" s="19">
        <v>0</v>
      </c>
      <c r="G26" s="34">
        <f ca="1">IF(A26&lt;&gt;"",AVERAGE(E26:OFFSET(E26,-G$2+1,0)),0)</f>
        <v>0</v>
      </c>
      <c r="H26" s="16">
        <f ca="1">IF(A26&lt;&gt;"",AVERAGE(E26:OFFSET(E26,-H$2+1,0)),0)</f>
        <v>0</v>
      </c>
      <c r="I26" s="18">
        <f t="shared" ca="1" si="1"/>
        <v>0</v>
      </c>
      <c r="J26" s="4" t="str">
        <f t="shared" ca="1" si="0"/>
        <v xml:space="preserve"> </v>
      </c>
    </row>
    <row r="27" spans="1:10">
      <c r="A27" s="12"/>
      <c r="B27" s="13">
        <v>0</v>
      </c>
      <c r="C27" s="13">
        <v>0</v>
      </c>
      <c r="D27" s="13">
        <v>0</v>
      </c>
      <c r="E27" s="13">
        <v>0</v>
      </c>
      <c r="F27" s="19">
        <v>0</v>
      </c>
      <c r="G27" s="34">
        <f ca="1">IF(A27&lt;&gt;"",AVERAGE(E27:OFFSET(E27,-G$2+1,0)),0)</f>
        <v>0</v>
      </c>
      <c r="H27" s="16">
        <f ca="1">IF(A27&lt;&gt;"",AVERAGE(E27:OFFSET(E27,-H$2+1,0)),0)</f>
        <v>0</v>
      </c>
      <c r="I27" s="18">
        <f t="shared" ca="1" si="1"/>
        <v>0</v>
      </c>
      <c r="J27" s="4" t="str">
        <f t="shared" ca="1" si="0"/>
        <v xml:space="preserve"> </v>
      </c>
    </row>
    <row r="28" spans="1:10">
      <c r="A28" s="12"/>
      <c r="B28" s="13">
        <v>0</v>
      </c>
      <c r="C28" s="13">
        <v>0</v>
      </c>
      <c r="D28" s="13">
        <v>0</v>
      </c>
      <c r="E28" s="13">
        <v>0</v>
      </c>
      <c r="F28" s="19">
        <v>0</v>
      </c>
      <c r="G28" s="34">
        <f ca="1">IF(A28&lt;&gt;"",AVERAGE(E28:OFFSET(E28,-G$2+1,0)),0)</f>
        <v>0</v>
      </c>
      <c r="H28" s="16">
        <f ca="1">IF(A28&lt;&gt;"",AVERAGE(E28:OFFSET(E28,-H$2+1,0)),0)</f>
        <v>0</v>
      </c>
      <c r="I28" s="18">
        <f t="shared" ca="1" si="1"/>
        <v>0</v>
      </c>
      <c r="J28" s="4" t="str">
        <f t="shared" ca="1" si="0"/>
        <v xml:space="preserve"> </v>
      </c>
    </row>
    <row r="29" spans="1:10">
      <c r="A29" s="12"/>
      <c r="B29" s="13">
        <v>0</v>
      </c>
      <c r="C29" s="13">
        <v>0</v>
      </c>
      <c r="D29" s="13">
        <v>0</v>
      </c>
      <c r="E29" s="13">
        <v>0</v>
      </c>
      <c r="F29" s="19">
        <v>0</v>
      </c>
      <c r="G29" s="34">
        <f ca="1">IF(A29&lt;&gt;"",AVERAGE(E29:OFFSET(E29,-G$2+1,0)),0)</f>
        <v>0</v>
      </c>
      <c r="H29" s="16">
        <f ca="1">IF(A29&lt;&gt;"",AVERAGE(E29:OFFSET(E29,-H$2+1,0)),0)</f>
        <v>0</v>
      </c>
      <c r="I29" s="18">
        <f t="shared" ca="1" si="1"/>
        <v>0</v>
      </c>
      <c r="J29" s="4" t="str">
        <f t="shared" ca="1" si="0"/>
        <v xml:space="preserve"> </v>
      </c>
    </row>
    <row r="30" spans="1:10">
      <c r="A30" s="12"/>
      <c r="B30" s="13">
        <v>0</v>
      </c>
      <c r="C30" s="13">
        <v>0</v>
      </c>
      <c r="D30" s="13">
        <v>0</v>
      </c>
      <c r="E30" s="13">
        <v>0</v>
      </c>
      <c r="F30" s="19">
        <v>0</v>
      </c>
      <c r="G30" s="34">
        <f ca="1">IF(A30&lt;&gt;"",AVERAGE(E30:OFFSET(E30,-G$2+1,0)),0)</f>
        <v>0</v>
      </c>
      <c r="H30" s="16">
        <f ca="1">IF(A30&lt;&gt;"",AVERAGE(E30:OFFSET(E30,-H$2+1,0)),0)</f>
        <v>0</v>
      </c>
      <c r="I30" s="18">
        <f t="shared" ca="1" si="1"/>
        <v>0</v>
      </c>
      <c r="J30" s="4" t="str">
        <f t="shared" ca="1" si="0"/>
        <v xml:space="preserve"> </v>
      </c>
    </row>
    <row r="31" spans="1:10">
      <c r="A31" s="12"/>
      <c r="B31" s="13">
        <v>0</v>
      </c>
      <c r="C31" s="13">
        <v>0</v>
      </c>
      <c r="D31" s="13">
        <v>0</v>
      </c>
      <c r="E31" s="13">
        <v>0</v>
      </c>
      <c r="F31" s="19">
        <v>0</v>
      </c>
      <c r="G31" s="34">
        <f ca="1">IF(A31&lt;&gt;"",AVERAGE(E31:OFFSET(E31,-G$2+1,0)),0)</f>
        <v>0</v>
      </c>
      <c r="H31" s="16">
        <f ca="1">IF(A31&lt;&gt;"",AVERAGE(E31:OFFSET(E31,-H$2+1,0)),0)</f>
        <v>0</v>
      </c>
      <c r="I31" s="18">
        <f t="shared" ca="1" si="1"/>
        <v>0</v>
      </c>
      <c r="J31" s="4" t="str">
        <f t="shared" ca="1" si="0"/>
        <v xml:space="preserve"> </v>
      </c>
    </row>
    <row r="32" spans="1:10">
      <c r="A32" s="12"/>
      <c r="B32" s="13">
        <v>0</v>
      </c>
      <c r="C32" s="13">
        <v>0</v>
      </c>
      <c r="D32" s="13">
        <v>0</v>
      </c>
      <c r="E32" s="13">
        <v>0</v>
      </c>
      <c r="F32" s="19">
        <v>0</v>
      </c>
      <c r="G32" s="34">
        <f ca="1">IF(A32&lt;&gt;"",AVERAGE(E32:OFFSET(E32,-G$2+1,0)),0)</f>
        <v>0</v>
      </c>
      <c r="H32" s="16">
        <f ca="1">IF(A32&lt;&gt;"",AVERAGE(E32:OFFSET(E32,-H$2+1,0)),0)</f>
        <v>0</v>
      </c>
      <c r="I32" s="18">
        <f t="shared" ca="1" si="1"/>
        <v>0</v>
      </c>
      <c r="J32" s="4" t="str">
        <f t="shared" ca="1" si="0"/>
        <v xml:space="preserve"> </v>
      </c>
    </row>
    <row r="33" spans="1:10">
      <c r="A33" s="12"/>
      <c r="B33" s="13">
        <v>0</v>
      </c>
      <c r="C33" s="13">
        <v>0</v>
      </c>
      <c r="D33" s="13">
        <v>0</v>
      </c>
      <c r="E33" s="13">
        <v>0</v>
      </c>
      <c r="F33" s="19">
        <v>0</v>
      </c>
      <c r="G33" s="34">
        <f ca="1">IF(A33&lt;&gt;"",AVERAGE(E33:OFFSET(E33,-G$2+1,0)),0)</f>
        <v>0</v>
      </c>
      <c r="H33" s="16">
        <f ca="1">IF(A33&lt;&gt;"",AVERAGE(E33:OFFSET(E33,-H$2+1,0)),0)</f>
        <v>0</v>
      </c>
      <c r="I33" s="18">
        <f t="shared" ca="1" si="1"/>
        <v>0</v>
      </c>
      <c r="J33" s="4" t="str">
        <f t="shared" ca="1" si="0"/>
        <v xml:space="preserve"> </v>
      </c>
    </row>
    <row r="34" spans="1:10">
      <c r="A34" s="12"/>
      <c r="B34" s="13">
        <v>0</v>
      </c>
      <c r="C34" s="13">
        <v>0</v>
      </c>
      <c r="D34" s="13">
        <v>0</v>
      </c>
      <c r="E34" s="13">
        <v>0</v>
      </c>
      <c r="F34" s="19">
        <v>0</v>
      </c>
      <c r="G34" s="34">
        <f ca="1">IF(A34&lt;&gt;"",AVERAGE(E34:OFFSET(E34,-G$2+1,0)),0)</f>
        <v>0</v>
      </c>
      <c r="H34" s="16">
        <f ca="1">IF(A34&lt;&gt;"",AVERAGE(E34:OFFSET(E34,-H$2+1,0)),0)</f>
        <v>0</v>
      </c>
      <c r="I34" s="18">
        <f t="shared" ca="1" si="1"/>
        <v>0</v>
      </c>
      <c r="J34" s="4" t="str">
        <f t="shared" ca="1" si="0"/>
        <v xml:space="preserve"> </v>
      </c>
    </row>
    <row r="35" spans="1:10">
      <c r="A35" s="12"/>
      <c r="B35" s="13">
        <v>0</v>
      </c>
      <c r="C35" s="13">
        <v>0</v>
      </c>
      <c r="D35" s="13">
        <v>0</v>
      </c>
      <c r="E35" s="13">
        <v>0</v>
      </c>
      <c r="F35" s="19">
        <v>0</v>
      </c>
      <c r="G35" s="34">
        <f ca="1">IF(A35&lt;&gt;"",AVERAGE(E35:OFFSET(E35,-G$2+1,0)),0)</f>
        <v>0</v>
      </c>
      <c r="H35" s="16">
        <f ca="1">IF(A35&lt;&gt;"",AVERAGE(E35:OFFSET(E35,-H$2+1,0)),0)</f>
        <v>0</v>
      </c>
      <c r="I35" s="18">
        <f t="shared" ca="1" si="1"/>
        <v>0</v>
      </c>
      <c r="J35" s="4" t="str">
        <f t="shared" ca="1" si="0"/>
        <v xml:space="preserve"> </v>
      </c>
    </row>
    <row r="36" spans="1:10">
      <c r="A36" s="12"/>
      <c r="B36" s="13">
        <v>0</v>
      </c>
      <c r="C36" s="13">
        <v>0</v>
      </c>
      <c r="D36" s="13">
        <v>0</v>
      </c>
      <c r="E36" s="13">
        <v>0</v>
      </c>
      <c r="F36" s="19">
        <v>0</v>
      </c>
      <c r="G36" s="34">
        <f ca="1">IF(A36&lt;&gt;"",AVERAGE(E36:OFFSET(E36,-G$2+1,0)),0)</f>
        <v>0</v>
      </c>
      <c r="H36" s="16">
        <f ca="1">IF(A36&lt;&gt;"",AVERAGE(E36:OFFSET(E36,-H$2+1,0)),0)</f>
        <v>0</v>
      </c>
      <c r="I36" s="18">
        <f t="shared" ca="1" si="1"/>
        <v>0</v>
      </c>
      <c r="J36" s="4" t="str">
        <f t="shared" ca="1" si="0"/>
        <v xml:space="preserve"> </v>
      </c>
    </row>
    <row r="37" spans="1:10">
      <c r="A37" s="12"/>
      <c r="B37" s="13">
        <v>0</v>
      </c>
      <c r="C37" s="13">
        <v>0</v>
      </c>
      <c r="D37" s="13">
        <v>0</v>
      </c>
      <c r="E37" s="13">
        <v>0</v>
      </c>
      <c r="F37" s="19">
        <v>0</v>
      </c>
      <c r="G37" s="34">
        <f ca="1">IF(A37&lt;&gt;"",AVERAGE(E37:OFFSET(E37,-G$2+1,0)),0)</f>
        <v>0</v>
      </c>
      <c r="H37" s="16">
        <f ca="1">IF(A37&lt;&gt;"",AVERAGE(E37:OFFSET(E37,-H$2+1,0)),0)</f>
        <v>0</v>
      </c>
      <c r="I37" s="18">
        <f t="shared" ca="1" si="1"/>
        <v>0</v>
      </c>
      <c r="J37" s="4" t="str">
        <f t="shared" ca="1" si="0"/>
        <v xml:space="preserve"> </v>
      </c>
    </row>
    <row r="38" spans="1:10">
      <c r="A38" s="12"/>
      <c r="B38" s="13">
        <v>0</v>
      </c>
      <c r="C38" s="13">
        <v>0</v>
      </c>
      <c r="D38" s="13">
        <v>0</v>
      </c>
      <c r="E38" s="13">
        <v>0</v>
      </c>
      <c r="F38" s="19">
        <v>0</v>
      </c>
      <c r="G38" s="34">
        <f ca="1">IF(A38&lt;&gt;"",AVERAGE(E38:OFFSET(E38,-G$2+1,0)),0)</f>
        <v>0</v>
      </c>
      <c r="H38" s="16">
        <f ca="1">IF(A38&lt;&gt;"",AVERAGE(E38:OFFSET(E38,-H$2+1,0)),0)</f>
        <v>0</v>
      </c>
      <c r="I38" s="18">
        <f t="shared" ca="1" si="1"/>
        <v>0</v>
      </c>
      <c r="J38" s="4" t="str">
        <f t="shared" ca="1" si="0"/>
        <v xml:space="preserve"> </v>
      </c>
    </row>
    <row r="39" spans="1:10">
      <c r="A39" s="12"/>
      <c r="B39" s="13">
        <v>0</v>
      </c>
      <c r="C39" s="13">
        <v>0</v>
      </c>
      <c r="D39" s="13">
        <v>0</v>
      </c>
      <c r="E39" s="13">
        <v>0</v>
      </c>
      <c r="F39" s="19">
        <v>0</v>
      </c>
      <c r="G39" s="34">
        <f ca="1">IF(A39&lt;&gt;"",AVERAGE(E39:OFFSET(E39,-G$2+1,0)),0)</f>
        <v>0</v>
      </c>
      <c r="H39" s="16">
        <f ca="1">IF(A39&lt;&gt;"",AVERAGE(E39:OFFSET(E39,-H$2+1,0)),0)</f>
        <v>0</v>
      </c>
      <c r="I39" s="18">
        <f t="shared" ca="1" si="1"/>
        <v>0</v>
      </c>
      <c r="J39" s="4" t="str">
        <f t="shared" ca="1" si="0"/>
        <v xml:space="preserve"> </v>
      </c>
    </row>
    <row r="40" spans="1:10">
      <c r="A40" s="12"/>
      <c r="B40" s="13">
        <v>0</v>
      </c>
      <c r="C40" s="13">
        <v>0</v>
      </c>
      <c r="D40" s="13">
        <v>0</v>
      </c>
      <c r="E40" s="13">
        <v>0</v>
      </c>
      <c r="F40" s="19">
        <v>0</v>
      </c>
      <c r="G40" s="34">
        <f ca="1">IF(A40&lt;&gt;"",AVERAGE(E40:OFFSET(E40,-G$2+1,0)),0)</f>
        <v>0</v>
      </c>
      <c r="H40" s="16">
        <f ca="1">IF(A40&lt;&gt;"",AVERAGE(E40:OFFSET(E40,-H$2+1,0)),0)</f>
        <v>0</v>
      </c>
      <c r="I40" s="18">
        <f t="shared" ca="1" si="1"/>
        <v>0</v>
      </c>
      <c r="J40" s="4" t="str">
        <f t="shared" ca="1" si="0"/>
        <v xml:space="preserve"> </v>
      </c>
    </row>
    <row r="41" spans="1:10">
      <c r="A41" s="12"/>
      <c r="B41" s="13">
        <v>0</v>
      </c>
      <c r="C41" s="13">
        <v>0</v>
      </c>
      <c r="D41" s="13">
        <v>0</v>
      </c>
      <c r="E41" s="13">
        <v>0</v>
      </c>
      <c r="F41" s="19">
        <v>0</v>
      </c>
      <c r="G41" s="34">
        <f ca="1">IF(A41&lt;&gt;"",AVERAGE(E41:OFFSET(E41,-G$2+1,0)),0)</f>
        <v>0</v>
      </c>
      <c r="H41" s="16">
        <f ca="1">IF(A41&lt;&gt;"",AVERAGE(E41:OFFSET(E41,-H$2+1,0)),0)</f>
        <v>0</v>
      </c>
      <c r="I41" s="18">
        <f t="shared" ca="1" si="1"/>
        <v>0</v>
      </c>
      <c r="J41" s="4" t="str">
        <f t="shared" ca="1" si="0"/>
        <v xml:space="preserve"> </v>
      </c>
    </row>
    <row r="42" spans="1:10">
      <c r="A42" s="12"/>
      <c r="B42" s="13">
        <v>0</v>
      </c>
      <c r="C42" s="13">
        <v>0</v>
      </c>
      <c r="D42" s="13">
        <v>0</v>
      </c>
      <c r="E42" s="13">
        <v>0</v>
      </c>
      <c r="F42" s="19">
        <v>0</v>
      </c>
      <c r="G42" s="34">
        <f ca="1">IF(A42&lt;&gt;"",AVERAGE(E42:OFFSET(E42,-G$2+1,0)),0)</f>
        <v>0</v>
      </c>
      <c r="H42" s="16">
        <f ca="1">IF(A42&lt;&gt;"",AVERAGE(E42:OFFSET(E42,-H$2+1,0)),0)</f>
        <v>0</v>
      </c>
      <c r="I42" s="18">
        <f t="shared" ca="1" si="1"/>
        <v>0</v>
      </c>
      <c r="J42" s="4" t="str">
        <f t="shared" ca="1" si="0"/>
        <v xml:space="preserve"> </v>
      </c>
    </row>
    <row r="43" spans="1:10">
      <c r="A43" s="12"/>
      <c r="B43" s="13">
        <v>0</v>
      </c>
      <c r="C43" s="13">
        <v>0</v>
      </c>
      <c r="D43" s="13">
        <v>0</v>
      </c>
      <c r="E43" s="13">
        <v>0</v>
      </c>
      <c r="F43" s="19">
        <v>0</v>
      </c>
      <c r="G43" s="34">
        <f ca="1">IF(A43&lt;&gt;"",AVERAGE(E43:OFFSET(E43,-G$2+1,0)),0)</f>
        <v>0</v>
      </c>
      <c r="H43" s="16">
        <f ca="1">IF(A43&lt;&gt;"",AVERAGE(E43:OFFSET(E43,-H$2+1,0)),0)</f>
        <v>0</v>
      </c>
      <c r="I43" s="18">
        <f t="shared" ca="1" si="1"/>
        <v>0</v>
      </c>
      <c r="J43" s="4" t="str">
        <f t="shared" ca="1" si="0"/>
        <v xml:space="preserve"> </v>
      </c>
    </row>
    <row r="44" spans="1:10">
      <c r="A44" s="12"/>
      <c r="B44" s="13">
        <v>0</v>
      </c>
      <c r="C44" s="13">
        <v>0</v>
      </c>
      <c r="D44" s="13">
        <v>0</v>
      </c>
      <c r="E44" s="13">
        <v>0</v>
      </c>
      <c r="F44" s="19">
        <v>0</v>
      </c>
      <c r="G44" s="34">
        <f ca="1">IF(A44&lt;&gt;"",AVERAGE(E44:OFFSET(E44,-G$2+1,0)),0)</f>
        <v>0</v>
      </c>
      <c r="H44" s="16">
        <f ca="1">IF(A44&lt;&gt;"",AVERAGE(E44:OFFSET(E44,-H$2+1,0)),0)</f>
        <v>0</v>
      </c>
      <c r="I44" s="18">
        <f t="shared" ca="1" si="1"/>
        <v>0</v>
      </c>
      <c r="J44" s="4" t="str">
        <f t="shared" ca="1" si="0"/>
        <v xml:space="preserve"> </v>
      </c>
    </row>
    <row r="45" spans="1:10">
      <c r="A45" s="12"/>
      <c r="B45" s="13">
        <v>0</v>
      </c>
      <c r="C45" s="13">
        <v>0</v>
      </c>
      <c r="D45" s="13">
        <v>0</v>
      </c>
      <c r="E45" s="13">
        <v>0</v>
      </c>
      <c r="F45" s="19">
        <v>0</v>
      </c>
      <c r="G45" s="34">
        <f ca="1">IF(A45&lt;&gt;"",AVERAGE(E45:OFFSET(E45,-G$2+1,0)),0)</f>
        <v>0</v>
      </c>
      <c r="H45" s="16">
        <f ca="1">IF(A45&lt;&gt;"",AVERAGE(E45:OFFSET(E45,-H$2+1,0)),0)</f>
        <v>0</v>
      </c>
      <c r="I45" s="18">
        <f t="shared" ca="1" si="1"/>
        <v>0</v>
      </c>
      <c r="J45" s="4" t="str">
        <f t="shared" ca="1" si="0"/>
        <v xml:space="preserve"> </v>
      </c>
    </row>
    <row r="46" spans="1:10">
      <c r="A46" s="12"/>
      <c r="B46" s="13">
        <v>0</v>
      </c>
      <c r="C46" s="13">
        <v>0</v>
      </c>
      <c r="D46" s="13">
        <v>0</v>
      </c>
      <c r="E46" s="13">
        <v>0</v>
      </c>
      <c r="F46" s="19">
        <v>0</v>
      </c>
      <c r="G46" s="34">
        <f ca="1">IF(A46&lt;&gt;"",AVERAGE(E46:OFFSET(E46,-G$2+1,0)),0)</f>
        <v>0</v>
      </c>
      <c r="H46" s="16">
        <f ca="1">IF(A46&lt;&gt;"",AVERAGE(E46:OFFSET(E46,-H$2+1,0)),0)</f>
        <v>0</v>
      </c>
      <c r="I46" s="18">
        <f t="shared" ca="1" si="1"/>
        <v>0</v>
      </c>
      <c r="J46" s="4" t="str">
        <f t="shared" ca="1" si="0"/>
        <v xml:space="preserve"> </v>
      </c>
    </row>
    <row r="47" spans="1:10">
      <c r="A47" s="12"/>
      <c r="B47" s="13">
        <v>0</v>
      </c>
      <c r="C47" s="13">
        <v>0</v>
      </c>
      <c r="D47" s="13">
        <v>0</v>
      </c>
      <c r="E47" s="13">
        <v>0</v>
      </c>
      <c r="F47" s="19">
        <v>0</v>
      </c>
      <c r="G47" s="34">
        <f ca="1">IF(A47&lt;&gt;"",AVERAGE(E47:OFFSET(E47,-G$2+1,0)),0)</f>
        <v>0</v>
      </c>
      <c r="H47" s="16">
        <f ca="1">IF(A47&lt;&gt;"",AVERAGE(E47:OFFSET(E47,-H$2+1,0)),0)</f>
        <v>0</v>
      </c>
      <c r="I47" s="18">
        <f t="shared" ca="1" si="1"/>
        <v>0</v>
      </c>
      <c r="J47" s="4" t="str">
        <f t="shared" ca="1" si="0"/>
        <v xml:space="preserve"> </v>
      </c>
    </row>
    <row r="48" spans="1:10">
      <c r="A48" s="12"/>
      <c r="B48" s="13">
        <v>0</v>
      </c>
      <c r="C48" s="13">
        <v>0</v>
      </c>
      <c r="D48" s="13">
        <v>0</v>
      </c>
      <c r="E48" s="13">
        <v>0</v>
      </c>
      <c r="F48" s="19">
        <v>0</v>
      </c>
      <c r="G48" s="34">
        <f ca="1">IF(A48&lt;&gt;"",AVERAGE(E48:OFFSET(E48,-G$2+1,0)),0)</f>
        <v>0</v>
      </c>
      <c r="H48" s="16">
        <f ca="1">IF(A48&lt;&gt;"",AVERAGE(E48:OFFSET(E48,-H$2+1,0)),0)</f>
        <v>0</v>
      </c>
      <c r="I48" s="18">
        <f t="shared" ca="1" si="1"/>
        <v>0</v>
      </c>
      <c r="J48" s="4" t="str">
        <f t="shared" ca="1" si="0"/>
        <v xml:space="preserve"> </v>
      </c>
    </row>
    <row r="49" spans="1:10">
      <c r="A49" s="12"/>
      <c r="B49" s="13">
        <v>0</v>
      </c>
      <c r="C49" s="13">
        <v>0</v>
      </c>
      <c r="D49" s="13">
        <v>0</v>
      </c>
      <c r="E49" s="13">
        <v>0</v>
      </c>
      <c r="F49" s="19">
        <v>0</v>
      </c>
      <c r="G49" s="34">
        <f ca="1">IF(A49&lt;&gt;"",AVERAGE(E49:OFFSET(E49,-G$2+1,0)),0)</f>
        <v>0</v>
      </c>
      <c r="H49" s="16">
        <f ca="1">IF(A49&lt;&gt;"",AVERAGE(E49:OFFSET(E49,-H$2+1,0)),0)</f>
        <v>0</v>
      </c>
      <c r="I49" s="18">
        <f t="shared" ca="1" si="1"/>
        <v>0</v>
      </c>
      <c r="J49" s="4" t="str">
        <f t="shared" ca="1" si="0"/>
        <v xml:space="preserve"> </v>
      </c>
    </row>
    <row r="50" spans="1:10">
      <c r="A50" s="12"/>
      <c r="B50" s="13">
        <v>0</v>
      </c>
      <c r="C50" s="13">
        <v>0</v>
      </c>
      <c r="D50" s="13">
        <v>0</v>
      </c>
      <c r="E50" s="13">
        <v>0</v>
      </c>
      <c r="F50" s="19">
        <v>0</v>
      </c>
      <c r="G50" s="34">
        <f ca="1">IF(A50&lt;&gt;"",AVERAGE(E50:OFFSET(E50,-G$2+1,0)),0)</f>
        <v>0</v>
      </c>
      <c r="H50" s="16">
        <f ca="1">IF(A50&lt;&gt;"",AVERAGE(E50:OFFSET(E50,-H$2+1,0)),0)</f>
        <v>0</v>
      </c>
      <c r="I50" s="18">
        <f t="shared" ca="1" si="1"/>
        <v>0</v>
      </c>
      <c r="J50" s="4" t="str">
        <f t="shared" ca="1" si="0"/>
        <v xml:space="preserve"> </v>
      </c>
    </row>
    <row r="51" spans="1:10">
      <c r="A51" s="12"/>
      <c r="B51" s="13">
        <v>0</v>
      </c>
      <c r="C51" s="13">
        <v>0</v>
      </c>
      <c r="D51" s="13">
        <v>0</v>
      </c>
      <c r="E51" s="13">
        <v>0</v>
      </c>
      <c r="F51" s="19">
        <v>0</v>
      </c>
      <c r="G51" s="34">
        <f ca="1">IF(A51&lt;&gt;"",AVERAGE(E51:OFFSET(E51,-G$2+1,0)),0)</f>
        <v>0</v>
      </c>
      <c r="H51" s="16">
        <f ca="1">IF(A51&lt;&gt;"",AVERAGE(E51:OFFSET(E51,-H$2+1,0)),0)</f>
        <v>0</v>
      </c>
      <c r="I51" s="18">
        <f t="shared" ca="1" si="1"/>
        <v>0</v>
      </c>
      <c r="J51" s="4" t="str">
        <f t="shared" ca="1" si="0"/>
        <v xml:space="preserve"> </v>
      </c>
    </row>
    <row r="52" spans="1:10">
      <c r="A52" s="12"/>
      <c r="B52" s="13">
        <v>0</v>
      </c>
      <c r="C52" s="13">
        <v>0</v>
      </c>
      <c r="D52" s="13">
        <v>0</v>
      </c>
      <c r="E52" s="13">
        <v>0</v>
      </c>
      <c r="F52" s="19">
        <v>0</v>
      </c>
      <c r="G52" s="34">
        <f ca="1">IF(A52&lt;&gt;"",AVERAGE(E52:OFFSET(E52,-G$2+1,0)),0)</f>
        <v>0</v>
      </c>
      <c r="H52" s="16">
        <f ca="1">IF(A52&lt;&gt;"",AVERAGE(E52:OFFSET(E52,-H$2+1,0)),0)</f>
        <v>0</v>
      </c>
      <c r="I52" s="18">
        <f t="shared" ca="1" si="1"/>
        <v>0</v>
      </c>
      <c r="J52" s="4" t="str">
        <f t="shared" ca="1" si="0"/>
        <v xml:space="preserve"> </v>
      </c>
    </row>
    <row r="53" spans="1:10">
      <c r="A53" s="12"/>
      <c r="B53" s="13">
        <v>0</v>
      </c>
      <c r="C53" s="13">
        <v>0</v>
      </c>
      <c r="D53" s="13">
        <v>0</v>
      </c>
      <c r="E53" s="13">
        <v>0</v>
      </c>
      <c r="F53" s="19">
        <v>0</v>
      </c>
      <c r="G53" s="34">
        <f ca="1">IF(A53&lt;&gt;"",AVERAGE(E53:OFFSET(E53,-G$2+1,0)),0)</f>
        <v>0</v>
      </c>
      <c r="H53" s="16">
        <f ca="1">IF(A53&lt;&gt;"",AVERAGE(E53:OFFSET(E53,-H$2+1,0)),0)</f>
        <v>0</v>
      </c>
      <c r="I53" s="18">
        <f t="shared" ca="1" si="1"/>
        <v>0</v>
      </c>
      <c r="J53" s="4" t="str">
        <f t="shared" ca="1" si="0"/>
        <v xml:space="preserve"> </v>
      </c>
    </row>
    <row r="54" spans="1:10">
      <c r="A54" s="12"/>
      <c r="B54" s="13">
        <v>0</v>
      </c>
      <c r="C54" s="13">
        <v>0</v>
      </c>
      <c r="D54" s="13">
        <v>0</v>
      </c>
      <c r="E54" s="13">
        <v>0</v>
      </c>
      <c r="F54" s="19">
        <v>0</v>
      </c>
      <c r="G54" s="34">
        <f ca="1">IF(A54&lt;&gt;"",AVERAGE(E54:OFFSET(E54,-G$2+1,0)),0)</f>
        <v>0</v>
      </c>
      <c r="H54" s="16">
        <f ca="1">IF(A54&lt;&gt;"",AVERAGE(E54:OFFSET(E54,-H$2+1,0)),0)</f>
        <v>0</v>
      </c>
      <c r="I54" s="18">
        <f t="shared" ca="1" si="1"/>
        <v>0</v>
      </c>
      <c r="J54" s="4" t="str">
        <f t="shared" ca="1" si="0"/>
        <v xml:space="preserve"> </v>
      </c>
    </row>
    <row r="55" spans="1:10">
      <c r="A55" s="12"/>
      <c r="B55" s="13">
        <v>0</v>
      </c>
      <c r="C55" s="13">
        <v>0</v>
      </c>
      <c r="D55" s="13">
        <v>0</v>
      </c>
      <c r="E55" s="13">
        <v>0</v>
      </c>
      <c r="F55" s="19">
        <v>0</v>
      </c>
      <c r="G55" s="34">
        <f ca="1">IF(A55&lt;&gt;"",AVERAGE(E55:OFFSET(E55,-G$2+1,0)),0)</f>
        <v>0</v>
      </c>
      <c r="H55" s="16">
        <f ca="1">IF(A55&lt;&gt;"",AVERAGE(E55:OFFSET(E55,-H$2+1,0)),0)</f>
        <v>0</v>
      </c>
      <c r="I55" s="18">
        <f t="shared" ca="1" si="1"/>
        <v>0</v>
      </c>
      <c r="J55" s="4" t="str">
        <f t="shared" ca="1" si="0"/>
        <v xml:space="preserve"> </v>
      </c>
    </row>
    <row r="56" spans="1:10">
      <c r="A56" s="12"/>
      <c r="B56" s="13">
        <v>0</v>
      </c>
      <c r="C56" s="13">
        <v>0</v>
      </c>
      <c r="D56" s="13">
        <v>0</v>
      </c>
      <c r="E56" s="13">
        <v>0</v>
      </c>
      <c r="F56" s="19">
        <v>0</v>
      </c>
      <c r="G56" s="34">
        <f ca="1">IF(A56&lt;&gt;"",AVERAGE(E56:OFFSET(E56,-G$2+1,0)),0)</f>
        <v>0</v>
      </c>
      <c r="H56" s="16">
        <f ca="1">IF(A56&lt;&gt;"",AVERAGE(E56:OFFSET(E56,-H$2+1,0)),0)</f>
        <v>0</v>
      </c>
      <c r="I56" s="18">
        <f t="shared" ca="1" si="1"/>
        <v>0</v>
      </c>
      <c r="J56" s="4" t="str">
        <f t="shared" ca="1" si="0"/>
        <v xml:space="preserve"> </v>
      </c>
    </row>
    <row r="57" spans="1:10">
      <c r="A57" s="12"/>
      <c r="B57" s="13">
        <v>0</v>
      </c>
      <c r="C57" s="13">
        <v>0</v>
      </c>
      <c r="D57" s="13">
        <v>0</v>
      </c>
      <c r="E57" s="13">
        <v>0</v>
      </c>
      <c r="F57" s="19">
        <v>0</v>
      </c>
      <c r="G57" s="34">
        <f ca="1">IF(A57&lt;&gt;"",AVERAGE(E57:OFFSET(E57,-G$2+1,0)),0)</f>
        <v>0</v>
      </c>
      <c r="H57" s="16">
        <f ca="1">IF(A57&lt;&gt;"",AVERAGE(E57:OFFSET(E57,-H$2+1,0)),0)</f>
        <v>0</v>
      </c>
      <c r="I57" s="18">
        <f t="shared" ca="1" si="1"/>
        <v>0</v>
      </c>
      <c r="J57" s="4" t="str">
        <f t="shared" ca="1" si="0"/>
        <v xml:space="preserve"> </v>
      </c>
    </row>
    <row r="58" spans="1:10">
      <c r="A58" s="12"/>
      <c r="B58" s="13">
        <v>0</v>
      </c>
      <c r="C58" s="13">
        <v>0</v>
      </c>
      <c r="D58" s="13">
        <v>0</v>
      </c>
      <c r="E58" s="13">
        <v>0</v>
      </c>
      <c r="F58" s="19">
        <v>0</v>
      </c>
      <c r="G58" s="34">
        <f ca="1">IF(A58&lt;&gt;"",AVERAGE(E58:OFFSET(E58,-G$2+1,0)),0)</f>
        <v>0</v>
      </c>
      <c r="H58" s="16">
        <f ca="1">IF(A58&lt;&gt;"",AVERAGE(E58:OFFSET(E58,-H$2+1,0)),0)</f>
        <v>0</v>
      </c>
      <c r="I58" s="18">
        <f t="shared" ca="1" si="1"/>
        <v>0</v>
      </c>
      <c r="J58" s="4" t="str">
        <f t="shared" ca="1" si="0"/>
        <v xml:space="preserve"> </v>
      </c>
    </row>
    <row r="59" spans="1:10">
      <c r="A59" s="12"/>
      <c r="B59" s="13">
        <v>0</v>
      </c>
      <c r="C59" s="13">
        <v>0</v>
      </c>
      <c r="D59" s="13">
        <v>0</v>
      </c>
      <c r="E59" s="13">
        <v>0</v>
      </c>
      <c r="F59" s="19">
        <v>0</v>
      </c>
      <c r="G59" s="34">
        <f ca="1">IF(A59&lt;&gt;"",AVERAGE(E59:OFFSET(E59,-G$2+1,0)),0)</f>
        <v>0</v>
      </c>
      <c r="H59" s="16">
        <f ca="1">IF(A59&lt;&gt;"",AVERAGE(E59:OFFSET(E59,-H$2+1,0)),0)</f>
        <v>0</v>
      </c>
      <c r="I59" s="18">
        <f t="shared" ca="1" si="1"/>
        <v>0</v>
      </c>
      <c r="J59" s="4" t="str">
        <f t="shared" ca="1" si="0"/>
        <v xml:space="preserve"> </v>
      </c>
    </row>
    <row r="60" spans="1:10">
      <c r="A60" s="12"/>
      <c r="B60" s="13">
        <v>0</v>
      </c>
      <c r="C60" s="13">
        <v>0</v>
      </c>
      <c r="D60" s="13">
        <v>0</v>
      </c>
      <c r="E60" s="13">
        <v>0</v>
      </c>
      <c r="F60" s="19">
        <v>0</v>
      </c>
      <c r="G60" s="34">
        <f ca="1">IF(A60&lt;&gt;"",AVERAGE(E60:OFFSET(E60,-G$2+1,0)),0)</f>
        <v>0</v>
      </c>
      <c r="H60" s="16">
        <f ca="1">IF(A60&lt;&gt;"",AVERAGE(E60:OFFSET(E60,-H$2+1,0)),0)</f>
        <v>0</v>
      </c>
      <c r="I60" s="18">
        <f t="shared" ca="1" si="1"/>
        <v>0</v>
      </c>
      <c r="J60" s="4" t="str">
        <f t="shared" ca="1" si="0"/>
        <v xml:space="preserve"> </v>
      </c>
    </row>
    <row r="61" spans="1:10">
      <c r="A61" s="12"/>
      <c r="B61" s="13">
        <v>0</v>
      </c>
      <c r="C61" s="13">
        <v>0</v>
      </c>
      <c r="D61" s="13">
        <v>0</v>
      </c>
      <c r="E61" s="13">
        <v>0</v>
      </c>
      <c r="F61" s="19">
        <v>0</v>
      </c>
      <c r="G61" s="34">
        <f ca="1">IF(A61&lt;&gt;"",AVERAGE(E61:OFFSET(E61,-G$2+1,0)),0)</f>
        <v>0</v>
      </c>
      <c r="H61" s="16">
        <f ca="1">IF(A61&lt;&gt;"",AVERAGE(E61:OFFSET(E61,-H$2+1,0)),0)</f>
        <v>0</v>
      </c>
      <c r="I61" s="18">
        <f t="shared" ca="1" si="1"/>
        <v>0</v>
      </c>
      <c r="J61" s="4" t="str">
        <f t="shared" ca="1" si="0"/>
        <v xml:space="preserve"> </v>
      </c>
    </row>
    <row r="62" spans="1:10">
      <c r="A62" s="12"/>
      <c r="B62" s="13">
        <v>0</v>
      </c>
      <c r="C62" s="13">
        <v>0</v>
      </c>
      <c r="D62" s="13">
        <v>0</v>
      </c>
      <c r="E62" s="13">
        <v>0</v>
      </c>
      <c r="F62" s="19">
        <v>0</v>
      </c>
      <c r="G62" s="34">
        <f ca="1">IF(A62&lt;&gt;"",AVERAGE(E62:OFFSET(E62,-G$2+1,0)),0)</f>
        <v>0</v>
      </c>
      <c r="H62" s="16">
        <f ca="1">IF(A62&lt;&gt;"",AVERAGE(E62:OFFSET(E62,-H$2+1,0)),0)</f>
        <v>0</v>
      </c>
      <c r="I62" s="18">
        <f t="shared" ca="1" si="1"/>
        <v>0</v>
      </c>
      <c r="J62" s="4" t="str">
        <f t="shared" ca="1" si="0"/>
        <v xml:space="preserve"> </v>
      </c>
    </row>
    <row r="63" spans="1:10">
      <c r="A63" s="12"/>
      <c r="B63" s="13">
        <v>0</v>
      </c>
      <c r="C63" s="13">
        <v>0</v>
      </c>
      <c r="D63" s="13">
        <v>0</v>
      </c>
      <c r="E63" s="13">
        <v>0</v>
      </c>
      <c r="F63" s="19">
        <v>0</v>
      </c>
      <c r="G63" s="34">
        <f ca="1">IF(A63&lt;&gt;"",AVERAGE(E63:OFFSET(E63,-G$2+1,0)),0)</f>
        <v>0</v>
      </c>
      <c r="H63" s="16">
        <f ca="1">IF(A63&lt;&gt;"",AVERAGE(E63:OFFSET(E63,-H$2+1,0)),0)</f>
        <v>0</v>
      </c>
      <c r="I63" s="18">
        <f t="shared" ca="1" si="1"/>
        <v>0</v>
      </c>
      <c r="J63" s="4" t="str">
        <f t="shared" ca="1" si="0"/>
        <v xml:space="preserve"> </v>
      </c>
    </row>
    <row r="64" spans="1:10">
      <c r="A64" s="12"/>
      <c r="B64" s="13">
        <v>0</v>
      </c>
      <c r="C64" s="13">
        <v>0</v>
      </c>
      <c r="D64" s="13">
        <v>0</v>
      </c>
      <c r="E64" s="13">
        <v>0</v>
      </c>
      <c r="F64" s="19">
        <v>0</v>
      </c>
      <c r="G64" s="34">
        <f ca="1">IF(A64&lt;&gt;"",AVERAGE(E64:OFFSET(E64,-G$2+1,0)),0)</f>
        <v>0</v>
      </c>
      <c r="H64" s="16">
        <f ca="1">IF(A64&lt;&gt;"",AVERAGE(E64:OFFSET(E64,-H$2+1,0)),0)</f>
        <v>0</v>
      </c>
      <c r="I64" s="18">
        <f t="shared" ca="1" si="1"/>
        <v>0</v>
      </c>
      <c r="J64" s="4" t="str">
        <f t="shared" ca="1" si="0"/>
        <v xml:space="preserve"> </v>
      </c>
    </row>
    <row r="65" spans="1:10">
      <c r="A65" s="12"/>
      <c r="B65" s="13">
        <v>0</v>
      </c>
      <c r="C65" s="13">
        <v>0</v>
      </c>
      <c r="D65" s="13">
        <v>0</v>
      </c>
      <c r="E65" s="13">
        <v>0</v>
      </c>
      <c r="F65" s="19">
        <v>0</v>
      </c>
      <c r="G65" s="34">
        <f ca="1">IF(A65&lt;&gt;"",AVERAGE(E65:OFFSET(E65,-G$2+1,0)),0)</f>
        <v>0</v>
      </c>
      <c r="H65" s="16">
        <f ca="1">IF(A65&lt;&gt;"",AVERAGE(E65:OFFSET(E65,-H$2+1,0)),0)</f>
        <v>0</v>
      </c>
      <c r="I65" s="18">
        <f t="shared" ca="1" si="1"/>
        <v>0</v>
      </c>
      <c r="J65" s="4" t="str">
        <f t="shared" ca="1" si="0"/>
        <v xml:space="preserve"> </v>
      </c>
    </row>
    <row r="66" spans="1:10">
      <c r="A66" s="12"/>
      <c r="B66" s="13">
        <v>0</v>
      </c>
      <c r="C66" s="13">
        <v>0</v>
      </c>
      <c r="D66" s="13">
        <v>0</v>
      </c>
      <c r="E66" s="13">
        <v>0</v>
      </c>
      <c r="F66" s="19">
        <v>0</v>
      </c>
      <c r="G66" s="34">
        <f ca="1">IF(A66&lt;&gt;"",AVERAGE(E66:OFFSET(E66,-G$2+1,0)),0)</f>
        <v>0</v>
      </c>
      <c r="H66" s="16">
        <f ca="1">IF(A66&lt;&gt;"",AVERAGE(E66:OFFSET(E66,-H$2+1,0)),0)</f>
        <v>0</v>
      </c>
      <c r="I66" s="18">
        <f t="shared" ca="1" si="1"/>
        <v>0</v>
      </c>
      <c r="J66" s="4" t="str">
        <f t="shared" ca="1" si="0"/>
        <v xml:space="preserve"> </v>
      </c>
    </row>
    <row r="67" spans="1:10">
      <c r="A67" s="12"/>
      <c r="B67" s="13">
        <v>0</v>
      </c>
      <c r="C67" s="13">
        <v>0</v>
      </c>
      <c r="D67" s="13">
        <v>0</v>
      </c>
      <c r="E67" s="13">
        <v>0</v>
      </c>
      <c r="F67" s="19">
        <v>0</v>
      </c>
      <c r="G67" s="34">
        <f ca="1">IF(A67&lt;&gt;"",AVERAGE(E67:OFFSET(E67,-G$2+1,0)),0)</f>
        <v>0</v>
      </c>
      <c r="H67" s="16">
        <f ca="1">IF(A67&lt;&gt;"",AVERAGE(E67:OFFSET(E67,-H$2+1,0)),0)</f>
        <v>0</v>
      </c>
      <c r="I67" s="18">
        <f t="shared" ca="1" si="1"/>
        <v>0</v>
      </c>
      <c r="J67" s="4" t="str">
        <f t="shared" ca="1" si="0"/>
        <v xml:space="preserve"> </v>
      </c>
    </row>
    <row r="68" spans="1:10">
      <c r="A68" s="12"/>
      <c r="B68" s="13">
        <v>0</v>
      </c>
      <c r="C68" s="13">
        <v>0</v>
      </c>
      <c r="D68" s="13">
        <v>0</v>
      </c>
      <c r="E68" s="13">
        <v>0</v>
      </c>
      <c r="F68" s="19">
        <v>0</v>
      </c>
      <c r="G68" s="34">
        <f ca="1">IF(A68&lt;&gt;"",AVERAGE(E68:OFFSET(E68,-G$2+1,0)),0)</f>
        <v>0</v>
      </c>
      <c r="H68" s="16">
        <f ca="1">IF(A68&lt;&gt;"",AVERAGE(E68:OFFSET(E68,-H$2+1,0)),0)</f>
        <v>0</v>
      </c>
      <c r="I68" s="18">
        <f t="shared" ca="1" si="1"/>
        <v>0</v>
      </c>
      <c r="J68" s="4" t="str">
        <f t="shared" ca="1" si="0"/>
        <v xml:space="preserve"> </v>
      </c>
    </row>
    <row r="69" spans="1:10">
      <c r="A69" s="12"/>
      <c r="B69" s="13">
        <v>0</v>
      </c>
      <c r="C69" s="13">
        <v>0</v>
      </c>
      <c r="D69" s="13">
        <v>0</v>
      </c>
      <c r="E69" s="13">
        <v>0</v>
      </c>
      <c r="F69" s="19">
        <v>0</v>
      </c>
      <c r="G69" s="34">
        <f ca="1">IF(A69&lt;&gt;"",AVERAGE(E69:OFFSET(E69,-G$2+1,0)),0)</f>
        <v>0</v>
      </c>
      <c r="H69" s="16">
        <f ca="1">IF(A69&lt;&gt;"",AVERAGE(E69:OFFSET(E69,-H$2+1,0)),0)</f>
        <v>0</v>
      </c>
      <c r="I69" s="18">
        <f t="shared" ca="1" si="1"/>
        <v>0</v>
      </c>
      <c r="J69" s="4" t="str">
        <f t="shared" ca="1" si="0"/>
        <v xml:space="preserve"> </v>
      </c>
    </row>
    <row r="70" spans="1:10">
      <c r="A70" s="12"/>
      <c r="B70" s="13">
        <v>0</v>
      </c>
      <c r="C70" s="13">
        <v>0</v>
      </c>
      <c r="D70" s="13">
        <v>0</v>
      </c>
      <c r="E70" s="13">
        <v>0</v>
      </c>
      <c r="F70" s="19">
        <v>0</v>
      </c>
      <c r="G70" s="34">
        <f ca="1">IF(A70&lt;&gt;"",AVERAGE(E70:OFFSET(E70,-G$2+1,0)),0)</f>
        <v>0</v>
      </c>
      <c r="H70" s="16">
        <f ca="1">IF(A70&lt;&gt;"",AVERAGE(E70:OFFSET(E70,-H$2+1,0)),0)</f>
        <v>0</v>
      </c>
      <c r="I70" s="18">
        <f t="shared" ca="1" si="1"/>
        <v>0</v>
      </c>
      <c r="J70" s="4" t="str">
        <f t="shared" ca="1" si="0"/>
        <v xml:space="preserve"> </v>
      </c>
    </row>
    <row r="71" spans="1:10">
      <c r="A71" s="12"/>
      <c r="B71" s="13">
        <v>0</v>
      </c>
      <c r="C71" s="13">
        <v>0</v>
      </c>
      <c r="D71" s="13">
        <v>0</v>
      </c>
      <c r="E71" s="13">
        <v>0</v>
      </c>
      <c r="F71" s="19">
        <v>0</v>
      </c>
      <c r="G71" s="34">
        <f ca="1">IF(A71&lt;&gt;"",AVERAGE(E71:OFFSET(E71,-G$2+1,0)),0)</f>
        <v>0</v>
      </c>
      <c r="H71" s="16">
        <f ca="1">IF(A71&lt;&gt;"",AVERAGE(E71:OFFSET(E71,-H$2+1,0)),0)</f>
        <v>0</v>
      </c>
      <c r="I71" s="18">
        <f t="shared" ca="1" si="1"/>
        <v>0</v>
      </c>
      <c r="J71" s="4" t="str">
        <f t="shared" ca="1" si="0"/>
        <v xml:space="preserve"> </v>
      </c>
    </row>
    <row r="72" spans="1:10">
      <c r="A72" s="12"/>
      <c r="B72" s="13">
        <v>0</v>
      </c>
      <c r="C72" s="13">
        <v>0</v>
      </c>
      <c r="D72" s="13">
        <v>0</v>
      </c>
      <c r="E72" s="13">
        <v>0</v>
      </c>
      <c r="F72" s="19">
        <v>0</v>
      </c>
      <c r="G72" s="34">
        <f ca="1">IF(A72&lt;&gt;"",AVERAGE(E72:OFFSET(E72,-G$2+1,0)),0)</f>
        <v>0</v>
      </c>
      <c r="H72" s="16">
        <f ca="1">IF(A72&lt;&gt;"",AVERAGE(E72:OFFSET(E72,-H$2+1,0)),0)</f>
        <v>0</v>
      </c>
      <c r="I72" s="18">
        <f t="shared" ca="1" si="1"/>
        <v>0</v>
      </c>
      <c r="J72" s="4" t="str">
        <f t="shared" ca="1" si="0"/>
        <v xml:space="preserve"> </v>
      </c>
    </row>
    <row r="73" spans="1:10">
      <c r="A73" s="12"/>
      <c r="B73" s="13">
        <v>0</v>
      </c>
      <c r="C73" s="13">
        <v>0</v>
      </c>
      <c r="D73" s="13">
        <v>0</v>
      </c>
      <c r="E73" s="13">
        <v>0</v>
      </c>
      <c r="F73" s="19">
        <v>0</v>
      </c>
      <c r="G73" s="34">
        <f ca="1">IF(A73&lt;&gt;"",AVERAGE(E73:OFFSET(E73,-G$2+1,0)),0)</f>
        <v>0</v>
      </c>
      <c r="H73" s="16">
        <f ca="1">IF(A73&lt;&gt;"",AVERAGE(E73:OFFSET(E73,-H$2+1,0)),0)</f>
        <v>0</v>
      </c>
      <c r="I73" s="18">
        <f t="shared" ca="1" si="1"/>
        <v>0</v>
      </c>
      <c r="J73" s="4" t="str">
        <f t="shared" ca="1" si="0"/>
        <v xml:space="preserve"> </v>
      </c>
    </row>
    <row r="74" spans="1:10">
      <c r="A74" s="12"/>
      <c r="B74" s="13">
        <v>0</v>
      </c>
      <c r="C74" s="13">
        <v>0</v>
      </c>
      <c r="D74" s="13">
        <v>0</v>
      </c>
      <c r="E74" s="13">
        <v>0</v>
      </c>
      <c r="F74" s="19">
        <v>0</v>
      </c>
      <c r="G74" s="34">
        <f ca="1">IF(A74&lt;&gt;"",AVERAGE(E74:OFFSET(E74,-G$2+1,0)),0)</f>
        <v>0</v>
      </c>
      <c r="H74" s="16">
        <f ca="1">IF(A74&lt;&gt;"",AVERAGE(E74:OFFSET(E74,-H$2+1,0)),0)</f>
        <v>0</v>
      </c>
      <c r="I74" s="18">
        <f t="shared" ca="1" si="1"/>
        <v>0</v>
      </c>
      <c r="J74" s="4" t="str">
        <f t="shared" ca="1" si="0"/>
        <v xml:space="preserve"> </v>
      </c>
    </row>
    <row r="75" spans="1:10">
      <c r="A75" s="12"/>
      <c r="B75" s="13">
        <v>0</v>
      </c>
      <c r="C75" s="13">
        <v>0</v>
      </c>
      <c r="D75" s="13">
        <v>0</v>
      </c>
      <c r="E75" s="13">
        <v>0</v>
      </c>
      <c r="F75" s="19">
        <v>0</v>
      </c>
      <c r="G75" s="34">
        <f ca="1">IF(A75&lt;&gt;"",AVERAGE(E75:OFFSET(E75,-G$2+1,0)),0)</f>
        <v>0</v>
      </c>
      <c r="H75" s="16">
        <f ca="1">IF(A75&lt;&gt;"",AVERAGE(E75:OFFSET(E75,-H$2+1,0)),0)</f>
        <v>0</v>
      </c>
      <c r="I75" s="18">
        <f t="shared" ca="1" si="1"/>
        <v>0</v>
      </c>
      <c r="J75" s="4" t="str">
        <f t="shared" ca="1" si="0"/>
        <v xml:space="preserve"> </v>
      </c>
    </row>
    <row r="76" spans="1:10">
      <c r="A76" s="12"/>
      <c r="B76" s="13">
        <v>0</v>
      </c>
      <c r="C76" s="13">
        <v>0</v>
      </c>
      <c r="D76" s="13">
        <v>0</v>
      </c>
      <c r="E76" s="13">
        <v>0</v>
      </c>
      <c r="F76" s="19">
        <v>0</v>
      </c>
      <c r="G76" s="34">
        <f ca="1">IF(A76&lt;&gt;"",AVERAGE(E76:OFFSET(E76,-G$2+1,0)),0)</f>
        <v>0</v>
      </c>
      <c r="H76" s="16">
        <f ca="1">IF(A76&lt;&gt;"",AVERAGE(E76:OFFSET(E76,-H$2+1,0)),0)</f>
        <v>0</v>
      </c>
      <c r="I76" s="18">
        <f t="shared" ca="1" si="1"/>
        <v>0</v>
      </c>
      <c r="J76" s="4" t="str">
        <f t="shared" ca="1" si="0"/>
        <v xml:space="preserve"> </v>
      </c>
    </row>
    <row r="77" spans="1:10">
      <c r="A77" s="12"/>
      <c r="B77" s="13">
        <v>0</v>
      </c>
      <c r="C77" s="13">
        <v>0</v>
      </c>
      <c r="D77" s="13">
        <v>0</v>
      </c>
      <c r="E77" s="13">
        <v>0</v>
      </c>
      <c r="F77" s="19">
        <v>0</v>
      </c>
      <c r="G77" s="34">
        <f ca="1">IF(A77&lt;&gt;"",AVERAGE(E77:OFFSET(E77,-G$2+1,0)),0)</f>
        <v>0</v>
      </c>
      <c r="H77" s="16">
        <f ca="1">IF(A77&lt;&gt;"",AVERAGE(E77:OFFSET(E77,-H$2+1,0)),0)</f>
        <v>0</v>
      </c>
      <c r="I77" s="18">
        <f t="shared" ca="1" si="1"/>
        <v>0</v>
      </c>
      <c r="J77" s="4" t="str">
        <f t="shared" ca="1" si="0"/>
        <v xml:space="preserve"> </v>
      </c>
    </row>
    <row r="78" spans="1:10">
      <c r="A78" s="12"/>
      <c r="B78" s="13">
        <v>0</v>
      </c>
      <c r="C78" s="13">
        <v>0</v>
      </c>
      <c r="D78" s="13">
        <v>0</v>
      </c>
      <c r="E78" s="13">
        <v>0</v>
      </c>
      <c r="F78" s="19">
        <v>0</v>
      </c>
      <c r="G78" s="34">
        <f ca="1">IF(A78&lt;&gt;"",AVERAGE(E78:OFFSET(E78,-G$2+1,0)),0)</f>
        <v>0</v>
      </c>
      <c r="H78" s="16">
        <f ca="1">IF(A78&lt;&gt;"",AVERAGE(E78:OFFSET(E78,-H$2+1,0)),0)</f>
        <v>0</v>
      </c>
      <c r="I78" s="18">
        <f t="shared" ca="1" si="1"/>
        <v>0</v>
      </c>
      <c r="J78" s="4" t="str">
        <f t="shared" ca="1" si="0"/>
        <v xml:space="preserve"> </v>
      </c>
    </row>
    <row r="79" spans="1:10">
      <c r="A79" s="12"/>
      <c r="B79" s="13">
        <v>0</v>
      </c>
      <c r="C79" s="13">
        <v>0</v>
      </c>
      <c r="D79" s="13">
        <v>0</v>
      </c>
      <c r="E79" s="13">
        <v>0</v>
      </c>
      <c r="F79" s="19">
        <v>0</v>
      </c>
      <c r="G79" s="34">
        <f ca="1">IF(A79&lt;&gt;"",AVERAGE(E79:OFFSET(E79,-G$2+1,0)),0)</f>
        <v>0</v>
      </c>
      <c r="H79" s="16">
        <f ca="1">IF(A79&lt;&gt;"",AVERAGE(E79:OFFSET(E79,-H$2+1,0)),0)</f>
        <v>0</v>
      </c>
      <c r="I79" s="18">
        <f t="shared" ca="1" si="1"/>
        <v>0</v>
      </c>
      <c r="J79" s="4" t="str">
        <f t="shared" ca="1" si="0"/>
        <v xml:space="preserve"> </v>
      </c>
    </row>
    <row r="80" spans="1:10">
      <c r="A80" s="12"/>
      <c r="B80" s="13">
        <v>0</v>
      </c>
      <c r="C80" s="13">
        <v>0</v>
      </c>
      <c r="D80" s="13">
        <v>0</v>
      </c>
      <c r="E80" s="13">
        <v>0</v>
      </c>
      <c r="F80" s="19">
        <v>0</v>
      </c>
      <c r="G80" s="34">
        <f ca="1">IF(A80&lt;&gt;"",AVERAGE(E80:OFFSET(E80,-G$2+1,0)),0)</f>
        <v>0</v>
      </c>
      <c r="H80" s="16">
        <f ca="1">IF(A80&lt;&gt;"",AVERAGE(E80:OFFSET(E80,-H$2+1,0)),0)</f>
        <v>0</v>
      </c>
      <c r="I80" s="18">
        <f t="shared" ca="1" si="1"/>
        <v>0</v>
      </c>
      <c r="J80" s="4" t="str">
        <f t="shared" ca="1" si="0"/>
        <v xml:space="preserve"> </v>
      </c>
    </row>
    <row r="81" spans="1:10">
      <c r="A81" s="12"/>
      <c r="B81" s="13">
        <v>0</v>
      </c>
      <c r="C81" s="13">
        <v>0</v>
      </c>
      <c r="D81" s="13">
        <v>0</v>
      </c>
      <c r="E81" s="13">
        <v>0</v>
      </c>
      <c r="F81" s="19">
        <v>0</v>
      </c>
      <c r="G81" s="34">
        <f ca="1">IF(A81&lt;&gt;"",AVERAGE(E81:OFFSET(E81,-G$2+1,0)),0)</f>
        <v>0</v>
      </c>
      <c r="H81" s="16">
        <f ca="1">IF(A81&lt;&gt;"",AVERAGE(E81:OFFSET(E81,-H$2+1,0)),0)</f>
        <v>0</v>
      </c>
      <c r="I81" s="18">
        <f t="shared" ca="1" si="1"/>
        <v>0</v>
      </c>
      <c r="J81" s="4" t="str">
        <f t="shared" ca="1" si="0"/>
        <v xml:space="preserve"> </v>
      </c>
    </row>
    <row r="82" spans="1:10">
      <c r="A82" s="12"/>
      <c r="B82" s="13">
        <v>0</v>
      </c>
      <c r="C82" s="13">
        <v>0</v>
      </c>
      <c r="D82" s="13">
        <v>0</v>
      </c>
      <c r="E82" s="13">
        <v>0</v>
      </c>
      <c r="F82" s="19">
        <v>0</v>
      </c>
      <c r="G82" s="34">
        <f ca="1">IF(A82&lt;&gt;"",AVERAGE(E82:OFFSET(E82,-G$2+1,0)),0)</f>
        <v>0</v>
      </c>
      <c r="H82" s="16">
        <f ca="1">IF(A82&lt;&gt;"",AVERAGE(E82:OFFSET(E82,-H$2+1,0)),0)</f>
        <v>0</v>
      </c>
      <c r="I82" s="18">
        <f t="shared" ca="1" si="1"/>
        <v>0</v>
      </c>
      <c r="J82" s="4" t="str">
        <f t="shared" ca="1" si="0"/>
        <v xml:space="preserve"> </v>
      </c>
    </row>
    <row r="83" spans="1:10">
      <c r="A83" s="12"/>
      <c r="B83" s="13">
        <v>0</v>
      </c>
      <c r="C83" s="13">
        <v>0</v>
      </c>
      <c r="D83" s="13">
        <v>0</v>
      </c>
      <c r="E83" s="13">
        <v>0</v>
      </c>
      <c r="F83" s="19">
        <v>0</v>
      </c>
      <c r="G83" s="34">
        <f ca="1">IF(A83&lt;&gt;"",AVERAGE(E83:OFFSET(E83,-G$2+1,0)),0)</f>
        <v>0</v>
      </c>
      <c r="H83" s="16">
        <f ca="1">IF(A83&lt;&gt;"",AVERAGE(E83:OFFSET(E83,-H$2+1,0)),0)</f>
        <v>0</v>
      </c>
      <c r="I83" s="18">
        <f t="shared" ca="1" si="1"/>
        <v>0</v>
      </c>
      <c r="J83" s="4" t="str">
        <f t="shared" ca="1" si="0"/>
        <v xml:space="preserve"> </v>
      </c>
    </row>
    <row r="84" spans="1:10">
      <c r="A84" s="12"/>
      <c r="B84" s="13">
        <v>0</v>
      </c>
      <c r="C84" s="13">
        <v>0</v>
      </c>
      <c r="D84" s="13">
        <v>0</v>
      </c>
      <c r="E84" s="13">
        <v>0</v>
      </c>
      <c r="F84" s="19">
        <v>0</v>
      </c>
      <c r="G84" s="34">
        <f ca="1">IF(A84&lt;&gt;"",AVERAGE(E84:OFFSET(E84,-G$2+1,0)),0)</f>
        <v>0</v>
      </c>
      <c r="H84" s="16">
        <f ca="1">IF(A84&lt;&gt;"",AVERAGE(E84:OFFSET(E84,-H$2+1,0)),0)</f>
        <v>0</v>
      </c>
      <c r="I84" s="18">
        <f t="shared" ca="1" si="1"/>
        <v>0</v>
      </c>
      <c r="J84" s="4" t="str">
        <f t="shared" ca="1" si="0"/>
        <v xml:space="preserve"> </v>
      </c>
    </row>
    <row r="85" spans="1:10">
      <c r="A85" s="12"/>
      <c r="B85" s="13">
        <v>0</v>
      </c>
      <c r="C85" s="13">
        <v>0</v>
      </c>
      <c r="D85" s="13">
        <v>0</v>
      </c>
      <c r="E85" s="13">
        <v>0</v>
      </c>
      <c r="F85" s="19">
        <v>0</v>
      </c>
      <c r="G85" s="34">
        <f ca="1">IF(A85&lt;&gt;"",AVERAGE(E85:OFFSET(E85,-G$2+1,0)),0)</f>
        <v>0</v>
      </c>
      <c r="H85" s="16">
        <f ca="1">IF(A85&lt;&gt;"",AVERAGE(E85:OFFSET(E85,-H$2+1,0)),0)</f>
        <v>0</v>
      </c>
      <c r="I85" s="18">
        <f t="shared" ca="1" si="1"/>
        <v>0</v>
      </c>
      <c r="J85" s="4" t="str">
        <f t="shared" ref="J85:J148" ca="1" si="2">IF(I85=1,"作多一口期貨",IF(I85=-1,"作空一口期貨"," "))</f>
        <v xml:space="preserve"> </v>
      </c>
    </row>
    <row r="86" spans="1:10">
      <c r="A86" s="12"/>
      <c r="B86" s="13">
        <v>0</v>
      </c>
      <c r="C86" s="13">
        <v>0</v>
      </c>
      <c r="D86" s="13">
        <v>0</v>
      </c>
      <c r="E86" s="13">
        <v>0</v>
      </c>
      <c r="F86" s="19">
        <v>0</v>
      </c>
      <c r="G86" s="34">
        <f ca="1">IF(A86&lt;&gt;"",AVERAGE(E86:OFFSET(E86,-G$2+1,0)),0)</f>
        <v>0</v>
      </c>
      <c r="H86" s="16">
        <f ca="1">IF(A86&lt;&gt;"",AVERAGE(E86:OFFSET(E86,-H$2+1,0)),0)</f>
        <v>0</v>
      </c>
      <c r="I86" s="18">
        <f t="shared" ref="I86:I149" ca="1" si="3">IF(AND(G85&lt;=H85,G86&gt;H86),1,IF(AND(G85&gt;=H85,G86&lt;H86),-1,0))</f>
        <v>0</v>
      </c>
      <c r="J86" s="4" t="str">
        <f t="shared" ca="1" si="2"/>
        <v xml:space="preserve"> </v>
      </c>
    </row>
    <row r="87" spans="1:10">
      <c r="A87" s="12"/>
      <c r="B87" s="13">
        <v>0</v>
      </c>
      <c r="C87" s="13">
        <v>0</v>
      </c>
      <c r="D87" s="13">
        <v>0</v>
      </c>
      <c r="E87" s="13">
        <v>0</v>
      </c>
      <c r="F87" s="19">
        <v>0</v>
      </c>
      <c r="G87" s="34">
        <f ca="1">IF(A87&lt;&gt;"",AVERAGE(E87:OFFSET(E87,-G$2+1,0)),0)</f>
        <v>0</v>
      </c>
      <c r="H87" s="16">
        <f ca="1">IF(A87&lt;&gt;"",AVERAGE(E87:OFFSET(E87,-H$2+1,0)),0)</f>
        <v>0</v>
      </c>
      <c r="I87" s="18">
        <f t="shared" ca="1" si="3"/>
        <v>0</v>
      </c>
      <c r="J87" s="4" t="str">
        <f t="shared" ca="1" si="2"/>
        <v xml:space="preserve"> </v>
      </c>
    </row>
    <row r="88" spans="1:10">
      <c r="A88" s="12"/>
      <c r="B88" s="13">
        <v>0</v>
      </c>
      <c r="C88" s="13">
        <v>0</v>
      </c>
      <c r="D88" s="13">
        <v>0</v>
      </c>
      <c r="E88" s="13">
        <v>0</v>
      </c>
      <c r="F88" s="19">
        <v>0</v>
      </c>
      <c r="G88" s="34">
        <f ca="1">IF(A88&lt;&gt;"",AVERAGE(E88:OFFSET(E88,-G$2+1,0)),0)</f>
        <v>0</v>
      </c>
      <c r="H88" s="16">
        <f ca="1">IF(A88&lt;&gt;"",AVERAGE(E88:OFFSET(E88,-H$2+1,0)),0)</f>
        <v>0</v>
      </c>
      <c r="I88" s="18">
        <f t="shared" ca="1" si="3"/>
        <v>0</v>
      </c>
      <c r="J88" s="4" t="str">
        <f t="shared" ca="1" si="2"/>
        <v xml:space="preserve"> </v>
      </c>
    </row>
    <row r="89" spans="1:10">
      <c r="A89" s="12"/>
      <c r="B89" s="13">
        <v>0</v>
      </c>
      <c r="C89" s="13">
        <v>0</v>
      </c>
      <c r="D89" s="13">
        <v>0</v>
      </c>
      <c r="E89" s="13">
        <v>0</v>
      </c>
      <c r="F89" s="19">
        <v>0</v>
      </c>
      <c r="G89" s="34">
        <f ca="1">IF(A89&lt;&gt;"",AVERAGE(E89:OFFSET(E89,-G$2+1,0)),0)</f>
        <v>0</v>
      </c>
      <c r="H89" s="16">
        <f ca="1">IF(A89&lt;&gt;"",AVERAGE(E89:OFFSET(E89,-H$2+1,0)),0)</f>
        <v>0</v>
      </c>
      <c r="I89" s="18">
        <f t="shared" ca="1" si="3"/>
        <v>0</v>
      </c>
      <c r="J89" s="4" t="str">
        <f t="shared" ca="1" si="2"/>
        <v xml:space="preserve"> </v>
      </c>
    </row>
    <row r="90" spans="1:10">
      <c r="A90" s="12"/>
      <c r="B90" s="13">
        <v>0</v>
      </c>
      <c r="C90" s="13">
        <v>0</v>
      </c>
      <c r="D90" s="13">
        <v>0</v>
      </c>
      <c r="E90" s="13">
        <v>0</v>
      </c>
      <c r="F90" s="19">
        <v>0</v>
      </c>
      <c r="G90" s="34">
        <f ca="1">IF(A90&lt;&gt;"",AVERAGE(E90:OFFSET(E90,-G$2+1,0)),0)</f>
        <v>0</v>
      </c>
      <c r="H90" s="16">
        <f ca="1">IF(A90&lt;&gt;"",AVERAGE(E90:OFFSET(E90,-H$2+1,0)),0)</f>
        <v>0</v>
      </c>
      <c r="I90" s="18">
        <f t="shared" ca="1" si="3"/>
        <v>0</v>
      </c>
      <c r="J90" s="4" t="str">
        <f t="shared" ca="1" si="2"/>
        <v xml:space="preserve"> </v>
      </c>
    </row>
    <row r="91" spans="1:10">
      <c r="A91" s="12"/>
      <c r="B91" s="13">
        <v>0</v>
      </c>
      <c r="C91" s="13">
        <v>0</v>
      </c>
      <c r="D91" s="13">
        <v>0</v>
      </c>
      <c r="E91" s="13">
        <v>0</v>
      </c>
      <c r="F91" s="19">
        <v>0</v>
      </c>
      <c r="G91" s="34">
        <f ca="1">IF(A91&lt;&gt;"",AVERAGE(E91:OFFSET(E91,-G$2+1,0)),0)</f>
        <v>0</v>
      </c>
      <c r="H91" s="16">
        <f ca="1">IF(A91&lt;&gt;"",AVERAGE(E91:OFFSET(E91,-H$2+1,0)),0)</f>
        <v>0</v>
      </c>
      <c r="I91" s="18">
        <f t="shared" ca="1" si="3"/>
        <v>0</v>
      </c>
      <c r="J91" s="4" t="str">
        <f t="shared" ca="1" si="2"/>
        <v xml:space="preserve"> </v>
      </c>
    </row>
    <row r="92" spans="1:10">
      <c r="A92" s="12"/>
      <c r="B92" s="13">
        <v>0</v>
      </c>
      <c r="C92" s="13">
        <v>0</v>
      </c>
      <c r="D92" s="13">
        <v>0</v>
      </c>
      <c r="E92" s="13">
        <v>0</v>
      </c>
      <c r="F92" s="19">
        <v>0</v>
      </c>
      <c r="G92" s="34">
        <f ca="1">IF(A92&lt;&gt;"",AVERAGE(E92:OFFSET(E92,-G$2+1,0)),0)</f>
        <v>0</v>
      </c>
      <c r="H92" s="16">
        <f ca="1">IF(A92&lt;&gt;"",AVERAGE(E92:OFFSET(E92,-H$2+1,0)),0)</f>
        <v>0</v>
      </c>
      <c r="I92" s="18">
        <f t="shared" ca="1" si="3"/>
        <v>0</v>
      </c>
      <c r="J92" s="4" t="str">
        <f t="shared" ca="1" si="2"/>
        <v xml:space="preserve"> </v>
      </c>
    </row>
    <row r="93" spans="1:10">
      <c r="A93" s="12"/>
      <c r="B93" s="13">
        <v>0</v>
      </c>
      <c r="C93" s="13">
        <v>0</v>
      </c>
      <c r="D93" s="13">
        <v>0</v>
      </c>
      <c r="E93" s="13">
        <v>0</v>
      </c>
      <c r="F93" s="19">
        <v>0</v>
      </c>
      <c r="G93" s="34">
        <f ca="1">IF(A93&lt;&gt;"",AVERAGE(E93:OFFSET(E93,-G$2+1,0)),0)</f>
        <v>0</v>
      </c>
      <c r="H93" s="16">
        <f ca="1">IF(A93&lt;&gt;"",AVERAGE(E93:OFFSET(E93,-H$2+1,0)),0)</f>
        <v>0</v>
      </c>
      <c r="I93" s="18">
        <f t="shared" ca="1" si="3"/>
        <v>0</v>
      </c>
      <c r="J93" s="4" t="str">
        <f t="shared" ca="1" si="2"/>
        <v xml:space="preserve"> </v>
      </c>
    </row>
    <row r="94" spans="1:10">
      <c r="A94" s="12"/>
      <c r="B94" s="13">
        <v>0</v>
      </c>
      <c r="C94" s="13">
        <v>0</v>
      </c>
      <c r="D94" s="13">
        <v>0</v>
      </c>
      <c r="E94" s="13">
        <v>0</v>
      </c>
      <c r="F94" s="19">
        <v>0</v>
      </c>
      <c r="G94" s="34">
        <f ca="1">IF(A94&lt;&gt;"",AVERAGE(E94:OFFSET(E94,-G$2+1,0)),0)</f>
        <v>0</v>
      </c>
      <c r="H94" s="16">
        <f ca="1">IF(A94&lt;&gt;"",AVERAGE(E94:OFFSET(E94,-H$2+1,0)),0)</f>
        <v>0</v>
      </c>
      <c r="I94" s="18">
        <f t="shared" ca="1" si="3"/>
        <v>0</v>
      </c>
      <c r="J94" s="4" t="str">
        <f t="shared" ca="1" si="2"/>
        <v xml:space="preserve"> </v>
      </c>
    </row>
    <row r="95" spans="1:10">
      <c r="A95" s="12"/>
      <c r="B95" s="13">
        <v>0</v>
      </c>
      <c r="C95" s="13">
        <v>0</v>
      </c>
      <c r="D95" s="13">
        <v>0</v>
      </c>
      <c r="E95" s="13">
        <v>0</v>
      </c>
      <c r="F95" s="19">
        <v>0</v>
      </c>
      <c r="G95" s="34">
        <f ca="1">IF(A95&lt;&gt;"",AVERAGE(E95:OFFSET(E95,-G$2+1,0)),0)</f>
        <v>0</v>
      </c>
      <c r="H95" s="16">
        <f ca="1">IF(A95&lt;&gt;"",AVERAGE(E95:OFFSET(E95,-H$2+1,0)),0)</f>
        <v>0</v>
      </c>
      <c r="I95" s="18">
        <f t="shared" ca="1" si="3"/>
        <v>0</v>
      </c>
      <c r="J95" s="4" t="str">
        <f t="shared" ca="1" si="2"/>
        <v xml:space="preserve"> </v>
      </c>
    </row>
    <row r="96" spans="1:10">
      <c r="A96" s="12"/>
      <c r="B96" s="13">
        <v>0</v>
      </c>
      <c r="C96" s="13">
        <v>0</v>
      </c>
      <c r="D96" s="13">
        <v>0</v>
      </c>
      <c r="E96" s="13">
        <v>0</v>
      </c>
      <c r="F96" s="19">
        <v>0</v>
      </c>
      <c r="G96" s="34">
        <f ca="1">IF(A96&lt;&gt;"",AVERAGE(E96:OFFSET(E96,-G$2+1,0)),0)</f>
        <v>0</v>
      </c>
      <c r="H96" s="16">
        <f ca="1">IF(A96&lt;&gt;"",AVERAGE(E96:OFFSET(E96,-H$2+1,0)),0)</f>
        <v>0</v>
      </c>
      <c r="I96" s="18">
        <f t="shared" ca="1" si="3"/>
        <v>0</v>
      </c>
      <c r="J96" s="4" t="str">
        <f t="shared" ca="1" si="2"/>
        <v xml:space="preserve"> </v>
      </c>
    </row>
    <row r="97" spans="1:10">
      <c r="A97" s="12"/>
      <c r="B97" s="13">
        <v>0</v>
      </c>
      <c r="C97" s="13">
        <v>0</v>
      </c>
      <c r="D97" s="13">
        <v>0</v>
      </c>
      <c r="E97" s="13">
        <v>0</v>
      </c>
      <c r="F97" s="19">
        <v>0</v>
      </c>
      <c r="G97" s="34">
        <f ca="1">IF(A97&lt;&gt;"",AVERAGE(E97:OFFSET(E97,-G$2+1,0)),0)</f>
        <v>0</v>
      </c>
      <c r="H97" s="16">
        <f ca="1">IF(A97&lt;&gt;"",AVERAGE(E97:OFFSET(E97,-H$2+1,0)),0)</f>
        <v>0</v>
      </c>
      <c r="I97" s="18">
        <f t="shared" ca="1" si="3"/>
        <v>0</v>
      </c>
      <c r="J97" s="4" t="str">
        <f t="shared" ca="1" si="2"/>
        <v xml:space="preserve"> </v>
      </c>
    </row>
    <row r="98" spans="1:10">
      <c r="A98" s="12"/>
      <c r="B98" s="13">
        <v>0</v>
      </c>
      <c r="C98" s="13">
        <v>0</v>
      </c>
      <c r="D98" s="13">
        <v>0</v>
      </c>
      <c r="E98" s="13">
        <v>0</v>
      </c>
      <c r="F98" s="19">
        <v>0</v>
      </c>
      <c r="G98" s="34">
        <f ca="1">IF(A98&lt;&gt;"",AVERAGE(E98:OFFSET(E98,-G$2+1,0)),0)</f>
        <v>0</v>
      </c>
      <c r="H98" s="16">
        <f ca="1">IF(A98&lt;&gt;"",AVERAGE(E98:OFFSET(E98,-H$2+1,0)),0)</f>
        <v>0</v>
      </c>
      <c r="I98" s="18">
        <f t="shared" ca="1" si="3"/>
        <v>0</v>
      </c>
      <c r="J98" s="4" t="str">
        <f t="shared" ca="1" si="2"/>
        <v xml:space="preserve"> </v>
      </c>
    </row>
    <row r="99" spans="1:10">
      <c r="A99" s="12"/>
      <c r="B99" s="13">
        <v>0</v>
      </c>
      <c r="C99" s="13">
        <v>0</v>
      </c>
      <c r="D99" s="13">
        <v>0</v>
      </c>
      <c r="E99" s="13">
        <v>0</v>
      </c>
      <c r="F99" s="19">
        <v>0</v>
      </c>
      <c r="G99" s="34">
        <f ca="1">IF(A99&lt;&gt;"",AVERAGE(E99:OFFSET(E99,-G$2+1,0)),0)</f>
        <v>0</v>
      </c>
      <c r="H99" s="16">
        <f ca="1">IF(A99&lt;&gt;"",AVERAGE(E99:OFFSET(E99,-H$2+1,0)),0)</f>
        <v>0</v>
      </c>
      <c r="I99" s="18">
        <f t="shared" ca="1" si="3"/>
        <v>0</v>
      </c>
      <c r="J99" s="4" t="str">
        <f t="shared" ca="1" si="2"/>
        <v xml:space="preserve"> </v>
      </c>
    </row>
    <row r="100" spans="1:10">
      <c r="A100" s="12"/>
      <c r="B100" s="13">
        <v>0</v>
      </c>
      <c r="C100" s="13">
        <v>0</v>
      </c>
      <c r="D100" s="13">
        <v>0</v>
      </c>
      <c r="E100" s="13">
        <v>0</v>
      </c>
      <c r="F100" s="19">
        <v>0</v>
      </c>
      <c r="G100" s="34">
        <f ca="1">IF(A100&lt;&gt;"",AVERAGE(E100:OFFSET(E100,-G$2+1,0)),0)</f>
        <v>0</v>
      </c>
      <c r="H100" s="16">
        <f ca="1">IF(A100&lt;&gt;"",AVERAGE(E100:OFFSET(E100,-H$2+1,0)),0)</f>
        <v>0</v>
      </c>
      <c r="I100" s="18">
        <f t="shared" ca="1" si="3"/>
        <v>0</v>
      </c>
      <c r="J100" s="4" t="str">
        <f t="shared" ca="1" si="2"/>
        <v xml:space="preserve"> </v>
      </c>
    </row>
    <row r="101" spans="1:10">
      <c r="A101" s="12"/>
      <c r="B101" s="13">
        <v>0</v>
      </c>
      <c r="C101" s="13">
        <v>0</v>
      </c>
      <c r="D101" s="13">
        <v>0</v>
      </c>
      <c r="E101" s="13">
        <v>0</v>
      </c>
      <c r="F101" s="19">
        <v>0</v>
      </c>
      <c r="G101" s="34">
        <f ca="1">IF(A101&lt;&gt;"",AVERAGE(E101:OFFSET(E101,-G$2+1,0)),0)</f>
        <v>0</v>
      </c>
      <c r="H101" s="16">
        <f ca="1">IF(A101&lt;&gt;"",AVERAGE(E101:OFFSET(E101,-H$2+1,0)),0)</f>
        <v>0</v>
      </c>
      <c r="I101" s="18">
        <f t="shared" ca="1" si="3"/>
        <v>0</v>
      </c>
      <c r="J101" s="4" t="str">
        <f t="shared" ca="1" si="2"/>
        <v xml:space="preserve"> </v>
      </c>
    </row>
    <row r="102" spans="1:10">
      <c r="A102" s="12"/>
      <c r="B102" s="13">
        <v>0</v>
      </c>
      <c r="C102" s="13">
        <v>0</v>
      </c>
      <c r="D102" s="13">
        <v>0</v>
      </c>
      <c r="E102" s="13">
        <v>0</v>
      </c>
      <c r="F102" s="19">
        <v>0</v>
      </c>
      <c r="G102" s="34">
        <f ca="1">IF(A102&lt;&gt;"",AVERAGE(E102:OFFSET(E102,-G$2+1,0)),0)</f>
        <v>0</v>
      </c>
      <c r="H102" s="16">
        <f ca="1">IF(A102&lt;&gt;"",AVERAGE(E102:OFFSET(E102,-H$2+1,0)),0)</f>
        <v>0</v>
      </c>
      <c r="I102" s="18">
        <f t="shared" ca="1" si="3"/>
        <v>0</v>
      </c>
      <c r="J102" s="4" t="str">
        <f t="shared" ca="1" si="2"/>
        <v xml:space="preserve"> </v>
      </c>
    </row>
    <row r="103" spans="1:10">
      <c r="A103" s="12"/>
      <c r="B103" s="13">
        <v>0</v>
      </c>
      <c r="C103" s="13">
        <v>0</v>
      </c>
      <c r="D103" s="13">
        <v>0</v>
      </c>
      <c r="E103" s="13">
        <v>0</v>
      </c>
      <c r="F103" s="19">
        <v>0</v>
      </c>
      <c r="G103" s="34">
        <f ca="1">IF(A103&lt;&gt;"",AVERAGE(E103:OFFSET(E103,-G$2+1,0)),0)</f>
        <v>0</v>
      </c>
      <c r="H103" s="16">
        <f ca="1">IF(A103&lt;&gt;"",AVERAGE(E103:OFFSET(E103,-H$2+1,0)),0)</f>
        <v>0</v>
      </c>
      <c r="I103" s="18">
        <f t="shared" ca="1" si="3"/>
        <v>0</v>
      </c>
      <c r="J103" s="4" t="str">
        <f t="shared" ca="1" si="2"/>
        <v xml:space="preserve"> </v>
      </c>
    </row>
    <row r="104" spans="1:10">
      <c r="A104" s="12"/>
      <c r="B104" s="13">
        <v>0</v>
      </c>
      <c r="C104" s="13">
        <v>0</v>
      </c>
      <c r="D104" s="13">
        <v>0</v>
      </c>
      <c r="E104" s="13">
        <v>0</v>
      </c>
      <c r="F104" s="19">
        <v>0</v>
      </c>
      <c r="G104" s="34">
        <f ca="1">IF(A104&lt;&gt;"",AVERAGE(E104:OFFSET(E104,-G$2+1,0)),0)</f>
        <v>0</v>
      </c>
      <c r="H104" s="16">
        <f ca="1">IF(A104&lt;&gt;"",AVERAGE(E104:OFFSET(E104,-H$2+1,0)),0)</f>
        <v>0</v>
      </c>
      <c r="I104" s="18">
        <f t="shared" ca="1" si="3"/>
        <v>0</v>
      </c>
      <c r="J104" s="4" t="str">
        <f t="shared" ca="1" si="2"/>
        <v xml:space="preserve"> </v>
      </c>
    </row>
    <row r="105" spans="1:10">
      <c r="A105" s="12"/>
      <c r="B105" s="13">
        <v>0</v>
      </c>
      <c r="C105" s="13">
        <v>0</v>
      </c>
      <c r="D105" s="13">
        <v>0</v>
      </c>
      <c r="E105" s="13">
        <v>0</v>
      </c>
      <c r="F105" s="19">
        <v>0</v>
      </c>
      <c r="G105" s="34">
        <f ca="1">IF(A105&lt;&gt;"",AVERAGE(E105:OFFSET(E105,-G$2+1,0)),0)</f>
        <v>0</v>
      </c>
      <c r="H105" s="16">
        <f ca="1">IF(A105&lt;&gt;"",AVERAGE(E105:OFFSET(E105,-H$2+1,0)),0)</f>
        <v>0</v>
      </c>
      <c r="I105" s="18">
        <f t="shared" ca="1" si="3"/>
        <v>0</v>
      </c>
      <c r="J105" s="4" t="str">
        <f t="shared" ca="1" si="2"/>
        <v xml:space="preserve"> </v>
      </c>
    </row>
    <row r="106" spans="1:10">
      <c r="A106" s="12"/>
      <c r="B106" s="13">
        <v>0</v>
      </c>
      <c r="C106" s="13">
        <v>0</v>
      </c>
      <c r="D106" s="13">
        <v>0</v>
      </c>
      <c r="E106" s="13">
        <v>0</v>
      </c>
      <c r="F106" s="19">
        <v>0</v>
      </c>
      <c r="G106" s="34">
        <f ca="1">IF(A106&lt;&gt;"",AVERAGE(E106:OFFSET(E106,-G$2+1,0)),0)</f>
        <v>0</v>
      </c>
      <c r="H106" s="16">
        <f ca="1">IF(A106&lt;&gt;"",AVERAGE(E106:OFFSET(E106,-H$2+1,0)),0)</f>
        <v>0</v>
      </c>
      <c r="I106" s="18">
        <f t="shared" ca="1" si="3"/>
        <v>0</v>
      </c>
      <c r="J106" s="4" t="str">
        <f t="shared" ca="1" si="2"/>
        <v xml:space="preserve"> </v>
      </c>
    </row>
    <row r="107" spans="1:10">
      <c r="A107" s="12"/>
      <c r="B107" s="13">
        <v>0</v>
      </c>
      <c r="C107" s="13">
        <v>0</v>
      </c>
      <c r="D107" s="13">
        <v>0</v>
      </c>
      <c r="E107" s="13">
        <v>0</v>
      </c>
      <c r="F107" s="19">
        <v>0</v>
      </c>
      <c r="G107" s="34">
        <f ca="1">IF(A107&lt;&gt;"",AVERAGE(E107:OFFSET(E107,-G$2+1,0)),0)</f>
        <v>0</v>
      </c>
      <c r="H107" s="16">
        <f ca="1">IF(A107&lt;&gt;"",AVERAGE(E107:OFFSET(E107,-H$2+1,0)),0)</f>
        <v>0</v>
      </c>
      <c r="I107" s="18">
        <f t="shared" ca="1" si="3"/>
        <v>0</v>
      </c>
      <c r="J107" s="4" t="str">
        <f t="shared" ca="1" si="2"/>
        <v xml:space="preserve"> </v>
      </c>
    </row>
    <row r="108" spans="1:10">
      <c r="A108" s="12"/>
      <c r="B108" s="13">
        <v>0</v>
      </c>
      <c r="C108" s="13">
        <v>0</v>
      </c>
      <c r="D108" s="13">
        <v>0</v>
      </c>
      <c r="E108" s="13">
        <v>0</v>
      </c>
      <c r="F108" s="19">
        <v>0</v>
      </c>
      <c r="G108" s="34">
        <f ca="1">IF(A108&lt;&gt;"",AVERAGE(E108:OFFSET(E108,-G$2+1,0)),0)</f>
        <v>0</v>
      </c>
      <c r="H108" s="16">
        <f ca="1">IF(A108&lt;&gt;"",AVERAGE(E108:OFFSET(E108,-H$2+1,0)),0)</f>
        <v>0</v>
      </c>
      <c r="I108" s="18">
        <f t="shared" ca="1" si="3"/>
        <v>0</v>
      </c>
      <c r="J108" s="4" t="str">
        <f t="shared" ca="1" si="2"/>
        <v xml:space="preserve"> </v>
      </c>
    </row>
    <row r="109" spans="1:10">
      <c r="A109" s="12"/>
      <c r="B109" s="13">
        <v>0</v>
      </c>
      <c r="C109" s="13">
        <v>0</v>
      </c>
      <c r="D109" s="13">
        <v>0</v>
      </c>
      <c r="E109" s="13">
        <v>0</v>
      </c>
      <c r="F109" s="19">
        <v>0</v>
      </c>
      <c r="G109" s="34">
        <f ca="1">IF(A109&lt;&gt;"",AVERAGE(E109:OFFSET(E109,-G$2+1,0)),0)</f>
        <v>0</v>
      </c>
      <c r="H109" s="16">
        <f ca="1">IF(A109&lt;&gt;"",AVERAGE(E109:OFFSET(E109,-H$2+1,0)),0)</f>
        <v>0</v>
      </c>
      <c r="I109" s="18">
        <f t="shared" ca="1" si="3"/>
        <v>0</v>
      </c>
      <c r="J109" s="4" t="str">
        <f t="shared" ca="1" si="2"/>
        <v xml:space="preserve"> </v>
      </c>
    </row>
    <row r="110" spans="1:10">
      <c r="A110" s="12"/>
      <c r="B110" s="13">
        <v>0</v>
      </c>
      <c r="C110" s="13">
        <v>0</v>
      </c>
      <c r="D110" s="13">
        <v>0</v>
      </c>
      <c r="E110" s="13">
        <v>0</v>
      </c>
      <c r="F110" s="19">
        <v>0</v>
      </c>
      <c r="G110" s="34">
        <f ca="1">IF(A110&lt;&gt;"",AVERAGE(E110:OFFSET(E110,-G$2+1,0)),0)</f>
        <v>0</v>
      </c>
      <c r="H110" s="16">
        <f ca="1">IF(A110&lt;&gt;"",AVERAGE(E110:OFFSET(E110,-H$2+1,0)),0)</f>
        <v>0</v>
      </c>
      <c r="I110" s="18">
        <f t="shared" ca="1" si="3"/>
        <v>0</v>
      </c>
      <c r="J110" s="4" t="str">
        <f t="shared" ca="1" si="2"/>
        <v xml:space="preserve"> </v>
      </c>
    </row>
    <row r="111" spans="1:10">
      <c r="A111" s="12"/>
      <c r="B111" s="13">
        <v>0</v>
      </c>
      <c r="C111" s="13">
        <v>0</v>
      </c>
      <c r="D111" s="13">
        <v>0</v>
      </c>
      <c r="E111" s="13">
        <v>0</v>
      </c>
      <c r="F111" s="19">
        <v>0</v>
      </c>
      <c r="G111" s="34">
        <f ca="1">IF(A111&lt;&gt;"",AVERAGE(E111:OFFSET(E111,-G$2+1,0)),0)</f>
        <v>0</v>
      </c>
      <c r="H111" s="16">
        <f ca="1">IF(A111&lt;&gt;"",AVERAGE(E111:OFFSET(E111,-H$2+1,0)),0)</f>
        <v>0</v>
      </c>
      <c r="I111" s="18">
        <f t="shared" ca="1" si="3"/>
        <v>0</v>
      </c>
      <c r="J111" s="4" t="str">
        <f t="shared" ca="1" si="2"/>
        <v xml:space="preserve"> </v>
      </c>
    </row>
    <row r="112" spans="1:10">
      <c r="A112" s="12"/>
      <c r="B112" s="13">
        <v>0</v>
      </c>
      <c r="C112" s="13">
        <v>0</v>
      </c>
      <c r="D112" s="13">
        <v>0</v>
      </c>
      <c r="E112" s="13">
        <v>0</v>
      </c>
      <c r="F112" s="19">
        <v>0</v>
      </c>
      <c r="G112" s="34">
        <f ca="1">IF(A112&lt;&gt;"",AVERAGE(E112:OFFSET(E112,-G$2+1,0)),0)</f>
        <v>0</v>
      </c>
      <c r="H112" s="16">
        <f ca="1">IF(A112&lt;&gt;"",AVERAGE(E112:OFFSET(E112,-H$2+1,0)),0)</f>
        <v>0</v>
      </c>
      <c r="I112" s="18">
        <f t="shared" ca="1" si="3"/>
        <v>0</v>
      </c>
      <c r="J112" s="4" t="str">
        <f t="shared" ca="1" si="2"/>
        <v xml:space="preserve"> </v>
      </c>
    </row>
    <row r="113" spans="1:10">
      <c r="A113" s="12"/>
      <c r="B113" s="13">
        <v>0</v>
      </c>
      <c r="C113" s="13">
        <v>0</v>
      </c>
      <c r="D113" s="13">
        <v>0</v>
      </c>
      <c r="E113" s="13">
        <v>0</v>
      </c>
      <c r="F113" s="19">
        <v>0</v>
      </c>
      <c r="G113" s="34">
        <f ca="1">IF(A113&lt;&gt;"",AVERAGE(E113:OFFSET(E113,-G$2+1,0)),0)</f>
        <v>0</v>
      </c>
      <c r="H113" s="16">
        <f ca="1">IF(A113&lt;&gt;"",AVERAGE(E113:OFFSET(E113,-H$2+1,0)),0)</f>
        <v>0</v>
      </c>
      <c r="I113" s="18">
        <f t="shared" ca="1" si="3"/>
        <v>0</v>
      </c>
      <c r="J113" s="4" t="str">
        <f t="shared" ca="1" si="2"/>
        <v xml:space="preserve"> </v>
      </c>
    </row>
    <row r="114" spans="1:10">
      <c r="A114" s="12"/>
      <c r="B114" s="13">
        <v>0</v>
      </c>
      <c r="C114" s="13">
        <v>0</v>
      </c>
      <c r="D114" s="13">
        <v>0</v>
      </c>
      <c r="E114" s="13">
        <v>0</v>
      </c>
      <c r="F114" s="19">
        <v>0</v>
      </c>
      <c r="G114" s="34">
        <f ca="1">IF(A114&lt;&gt;"",AVERAGE(E114:OFFSET(E114,-G$2+1,0)),0)</f>
        <v>0</v>
      </c>
      <c r="H114" s="16">
        <f ca="1">IF(A114&lt;&gt;"",AVERAGE(E114:OFFSET(E114,-H$2+1,0)),0)</f>
        <v>0</v>
      </c>
      <c r="I114" s="18">
        <f t="shared" ca="1" si="3"/>
        <v>0</v>
      </c>
      <c r="J114" s="4" t="str">
        <f t="shared" ca="1" si="2"/>
        <v xml:space="preserve"> </v>
      </c>
    </row>
    <row r="115" spans="1:10">
      <c r="A115" s="12"/>
      <c r="B115" s="13">
        <v>0</v>
      </c>
      <c r="C115" s="13">
        <v>0</v>
      </c>
      <c r="D115" s="13">
        <v>0</v>
      </c>
      <c r="E115" s="13">
        <v>0</v>
      </c>
      <c r="F115" s="19">
        <v>0</v>
      </c>
      <c r="G115" s="34">
        <f ca="1">IF(A115&lt;&gt;"",AVERAGE(E115:OFFSET(E115,-G$2+1,0)),0)</f>
        <v>0</v>
      </c>
      <c r="H115" s="16">
        <f ca="1">IF(A115&lt;&gt;"",AVERAGE(E115:OFFSET(E115,-H$2+1,0)),0)</f>
        <v>0</v>
      </c>
      <c r="I115" s="18">
        <f t="shared" ca="1" si="3"/>
        <v>0</v>
      </c>
      <c r="J115" s="4" t="str">
        <f t="shared" ca="1" si="2"/>
        <v xml:space="preserve"> </v>
      </c>
    </row>
    <row r="116" spans="1:10">
      <c r="A116" s="12"/>
      <c r="B116" s="13">
        <v>0</v>
      </c>
      <c r="C116" s="13">
        <v>0</v>
      </c>
      <c r="D116" s="13">
        <v>0</v>
      </c>
      <c r="E116" s="13">
        <v>0</v>
      </c>
      <c r="F116" s="19">
        <v>0</v>
      </c>
      <c r="G116" s="34">
        <f ca="1">IF(A116&lt;&gt;"",AVERAGE(E116:OFFSET(E116,-G$2+1,0)),0)</f>
        <v>0</v>
      </c>
      <c r="H116" s="16">
        <f ca="1">IF(A116&lt;&gt;"",AVERAGE(E116:OFFSET(E116,-H$2+1,0)),0)</f>
        <v>0</v>
      </c>
      <c r="I116" s="18">
        <f t="shared" ca="1" si="3"/>
        <v>0</v>
      </c>
      <c r="J116" s="4" t="str">
        <f t="shared" ca="1" si="2"/>
        <v xml:space="preserve"> </v>
      </c>
    </row>
    <row r="117" spans="1:10">
      <c r="A117" s="12"/>
      <c r="B117" s="13">
        <v>0</v>
      </c>
      <c r="C117" s="13">
        <v>0</v>
      </c>
      <c r="D117" s="13">
        <v>0</v>
      </c>
      <c r="E117" s="13">
        <v>0</v>
      </c>
      <c r="F117" s="19">
        <v>0</v>
      </c>
      <c r="G117" s="34">
        <f ca="1">IF(A117&lt;&gt;"",AVERAGE(E117:OFFSET(E117,-G$2+1,0)),0)</f>
        <v>0</v>
      </c>
      <c r="H117" s="16">
        <f ca="1">IF(A117&lt;&gt;"",AVERAGE(E117:OFFSET(E117,-H$2+1,0)),0)</f>
        <v>0</v>
      </c>
      <c r="I117" s="18">
        <f t="shared" ca="1" si="3"/>
        <v>0</v>
      </c>
      <c r="J117" s="4" t="str">
        <f t="shared" ca="1" si="2"/>
        <v xml:space="preserve"> </v>
      </c>
    </row>
    <row r="118" spans="1:10">
      <c r="A118" s="12"/>
      <c r="B118" s="13">
        <v>0</v>
      </c>
      <c r="C118" s="13">
        <v>0</v>
      </c>
      <c r="D118" s="13">
        <v>0</v>
      </c>
      <c r="E118" s="13">
        <v>0</v>
      </c>
      <c r="F118" s="19">
        <v>0</v>
      </c>
      <c r="G118" s="34">
        <f ca="1">IF(A118&lt;&gt;"",AVERAGE(E118:OFFSET(E118,-G$2+1,0)),0)</f>
        <v>0</v>
      </c>
      <c r="H118" s="16">
        <f ca="1">IF(A118&lt;&gt;"",AVERAGE(E118:OFFSET(E118,-H$2+1,0)),0)</f>
        <v>0</v>
      </c>
      <c r="I118" s="18">
        <f t="shared" ca="1" si="3"/>
        <v>0</v>
      </c>
      <c r="J118" s="4" t="str">
        <f t="shared" ca="1" si="2"/>
        <v xml:space="preserve"> </v>
      </c>
    </row>
    <row r="119" spans="1:10">
      <c r="A119" s="12"/>
      <c r="B119" s="13">
        <v>0</v>
      </c>
      <c r="C119" s="13">
        <v>0</v>
      </c>
      <c r="D119" s="13">
        <v>0</v>
      </c>
      <c r="E119" s="13">
        <v>0</v>
      </c>
      <c r="F119" s="19">
        <v>0</v>
      </c>
      <c r="G119" s="34">
        <f ca="1">IF(A119&lt;&gt;"",AVERAGE(E119:OFFSET(E119,-G$2+1,0)),0)</f>
        <v>0</v>
      </c>
      <c r="H119" s="16">
        <f ca="1">IF(A119&lt;&gt;"",AVERAGE(E119:OFFSET(E119,-H$2+1,0)),0)</f>
        <v>0</v>
      </c>
      <c r="I119" s="18">
        <f t="shared" ca="1" si="3"/>
        <v>0</v>
      </c>
      <c r="J119" s="4" t="str">
        <f t="shared" ca="1" si="2"/>
        <v xml:space="preserve"> </v>
      </c>
    </row>
    <row r="120" spans="1:10">
      <c r="A120" s="12"/>
      <c r="B120" s="13">
        <v>0</v>
      </c>
      <c r="C120" s="13">
        <v>0</v>
      </c>
      <c r="D120" s="13">
        <v>0</v>
      </c>
      <c r="E120" s="13">
        <v>0</v>
      </c>
      <c r="F120" s="19">
        <v>0</v>
      </c>
      <c r="G120" s="34">
        <f ca="1">IF(A120&lt;&gt;"",AVERAGE(E120:OFFSET(E120,-G$2+1,0)),0)</f>
        <v>0</v>
      </c>
      <c r="H120" s="16">
        <f ca="1">IF(A120&lt;&gt;"",AVERAGE(E120:OFFSET(E120,-H$2+1,0)),0)</f>
        <v>0</v>
      </c>
      <c r="I120" s="18">
        <f t="shared" ca="1" si="3"/>
        <v>0</v>
      </c>
      <c r="J120" s="4" t="str">
        <f t="shared" ca="1" si="2"/>
        <v xml:space="preserve"> </v>
      </c>
    </row>
    <row r="121" spans="1:10">
      <c r="A121" s="12"/>
      <c r="B121" s="13">
        <v>0</v>
      </c>
      <c r="C121" s="13">
        <v>0</v>
      </c>
      <c r="D121" s="13">
        <v>0</v>
      </c>
      <c r="E121" s="13">
        <v>0</v>
      </c>
      <c r="F121" s="19">
        <v>0</v>
      </c>
      <c r="G121" s="34">
        <f ca="1">IF(A121&lt;&gt;"",AVERAGE(E121:OFFSET(E121,-G$2+1,0)),0)</f>
        <v>0</v>
      </c>
      <c r="H121" s="16">
        <f ca="1">IF(A121&lt;&gt;"",AVERAGE(E121:OFFSET(E121,-H$2+1,0)),0)</f>
        <v>0</v>
      </c>
      <c r="I121" s="18">
        <f t="shared" ca="1" si="3"/>
        <v>0</v>
      </c>
      <c r="J121" s="4" t="str">
        <f t="shared" ca="1" si="2"/>
        <v xml:space="preserve"> </v>
      </c>
    </row>
    <row r="122" spans="1:10">
      <c r="A122" s="12"/>
      <c r="B122" s="13">
        <v>0</v>
      </c>
      <c r="C122" s="13">
        <v>0</v>
      </c>
      <c r="D122" s="13">
        <v>0</v>
      </c>
      <c r="E122" s="13">
        <v>0</v>
      </c>
      <c r="F122" s="19">
        <v>0</v>
      </c>
      <c r="G122" s="34">
        <f ca="1">IF(A122&lt;&gt;"",AVERAGE(E122:OFFSET(E122,-G$2+1,0)),0)</f>
        <v>0</v>
      </c>
      <c r="H122" s="16">
        <f ca="1">IF(A122&lt;&gt;"",AVERAGE(E122:OFFSET(E122,-H$2+1,0)),0)</f>
        <v>0</v>
      </c>
      <c r="I122" s="18">
        <f t="shared" ca="1" si="3"/>
        <v>0</v>
      </c>
      <c r="J122" s="4" t="str">
        <f t="shared" ca="1" si="2"/>
        <v xml:space="preserve"> </v>
      </c>
    </row>
    <row r="123" spans="1:10">
      <c r="A123" s="12"/>
      <c r="B123" s="13">
        <v>0</v>
      </c>
      <c r="C123" s="13">
        <v>0</v>
      </c>
      <c r="D123" s="13">
        <v>0</v>
      </c>
      <c r="E123" s="13">
        <v>0</v>
      </c>
      <c r="F123" s="19">
        <v>0</v>
      </c>
      <c r="G123" s="34">
        <f ca="1">IF(A123&lt;&gt;"",AVERAGE(E123:OFFSET(E123,-G$2+1,0)),0)</f>
        <v>0</v>
      </c>
      <c r="H123" s="16">
        <f ca="1">IF(A123&lt;&gt;"",AVERAGE(E123:OFFSET(E123,-H$2+1,0)),0)</f>
        <v>0</v>
      </c>
      <c r="I123" s="18">
        <f t="shared" ca="1" si="3"/>
        <v>0</v>
      </c>
      <c r="J123" s="4" t="str">
        <f t="shared" ca="1" si="2"/>
        <v xml:space="preserve"> </v>
      </c>
    </row>
    <row r="124" spans="1:10">
      <c r="A124" s="12"/>
      <c r="B124" s="13">
        <v>0</v>
      </c>
      <c r="C124" s="13">
        <v>0</v>
      </c>
      <c r="D124" s="13">
        <v>0</v>
      </c>
      <c r="E124" s="13">
        <v>0</v>
      </c>
      <c r="F124" s="19">
        <v>0</v>
      </c>
      <c r="G124" s="34">
        <f ca="1">IF(A124&lt;&gt;"",AVERAGE(E124:OFFSET(E124,-G$2+1,0)),0)</f>
        <v>0</v>
      </c>
      <c r="H124" s="16">
        <f ca="1">IF(A124&lt;&gt;"",AVERAGE(E124:OFFSET(E124,-H$2+1,0)),0)</f>
        <v>0</v>
      </c>
      <c r="I124" s="18">
        <f t="shared" ca="1" si="3"/>
        <v>0</v>
      </c>
      <c r="J124" s="4" t="str">
        <f t="shared" ca="1" si="2"/>
        <v xml:space="preserve"> </v>
      </c>
    </row>
    <row r="125" spans="1:10">
      <c r="A125" s="12"/>
      <c r="B125" s="13">
        <v>0</v>
      </c>
      <c r="C125" s="13">
        <v>0</v>
      </c>
      <c r="D125" s="13">
        <v>0</v>
      </c>
      <c r="E125" s="13">
        <v>0</v>
      </c>
      <c r="F125" s="19">
        <v>0</v>
      </c>
      <c r="G125" s="34">
        <f ca="1">IF(A125&lt;&gt;"",AVERAGE(E125:OFFSET(E125,-G$2+1,0)),0)</f>
        <v>0</v>
      </c>
      <c r="H125" s="16">
        <f ca="1">IF(A125&lt;&gt;"",AVERAGE(E125:OFFSET(E125,-H$2+1,0)),0)</f>
        <v>0</v>
      </c>
      <c r="I125" s="18">
        <f t="shared" ca="1" si="3"/>
        <v>0</v>
      </c>
      <c r="J125" s="4" t="str">
        <f t="shared" ca="1" si="2"/>
        <v xml:space="preserve"> </v>
      </c>
    </row>
    <row r="126" spans="1:10">
      <c r="A126" s="12"/>
      <c r="B126" s="13">
        <v>0</v>
      </c>
      <c r="C126" s="13">
        <v>0</v>
      </c>
      <c r="D126" s="13">
        <v>0</v>
      </c>
      <c r="E126" s="13">
        <v>0</v>
      </c>
      <c r="F126" s="19">
        <v>0</v>
      </c>
      <c r="G126" s="34">
        <f ca="1">IF(A126&lt;&gt;"",AVERAGE(E126:OFFSET(E126,-G$2+1,0)),0)</f>
        <v>0</v>
      </c>
      <c r="H126" s="16">
        <f ca="1">IF(A126&lt;&gt;"",AVERAGE(E126:OFFSET(E126,-H$2+1,0)),0)</f>
        <v>0</v>
      </c>
      <c r="I126" s="18">
        <f t="shared" ca="1" si="3"/>
        <v>0</v>
      </c>
      <c r="J126" s="4" t="str">
        <f t="shared" ca="1" si="2"/>
        <v xml:space="preserve"> </v>
      </c>
    </row>
    <row r="127" spans="1:10">
      <c r="A127" s="12"/>
      <c r="B127" s="13">
        <v>0</v>
      </c>
      <c r="C127" s="13">
        <v>0</v>
      </c>
      <c r="D127" s="13">
        <v>0</v>
      </c>
      <c r="E127" s="13">
        <v>0</v>
      </c>
      <c r="F127" s="19">
        <v>0</v>
      </c>
      <c r="G127" s="34">
        <f ca="1">IF(A127&lt;&gt;"",AVERAGE(E127:OFFSET(E127,-G$2+1,0)),0)</f>
        <v>0</v>
      </c>
      <c r="H127" s="16">
        <f ca="1">IF(A127&lt;&gt;"",AVERAGE(E127:OFFSET(E127,-H$2+1,0)),0)</f>
        <v>0</v>
      </c>
      <c r="I127" s="18">
        <f t="shared" ca="1" si="3"/>
        <v>0</v>
      </c>
      <c r="J127" s="4" t="str">
        <f t="shared" ca="1" si="2"/>
        <v xml:space="preserve"> </v>
      </c>
    </row>
    <row r="128" spans="1:10">
      <c r="A128" s="12"/>
      <c r="B128" s="13">
        <v>0</v>
      </c>
      <c r="C128" s="13">
        <v>0</v>
      </c>
      <c r="D128" s="13">
        <v>0</v>
      </c>
      <c r="E128" s="13">
        <v>0</v>
      </c>
      <c r="F128" s="19">
        <v>0</v>
      </c>
      <c r="G128" s="34">
        <f ca="1">IF(A128&lt;&gt;"",AVERAGE(E128:OFFSET(E128,-G$2+1,0)),0)</f>
        <v>0</v>
      </c>
      <c r="H128" s="16">
        <f ca="1">IF(A128&lt;&gt;"",AVERAGE(E128:OFFSET(E128,-H$2+1,0)),0)</f>
        <v>0</v>
      </c>
      <c r="I128" s="18">
        <f t="shared" ca="1" si="3"/>
        <v>0</v>
      </c>
      <c r="J128" s="4" t="str">
        <f t="shared" ca="1" si="2"/>
        <v xml:space="preserve"> </v>
      </c>
    </row>
    <row r="129" spans="1:10">
      <c r="A129" s="12"/>
      <c r="B129" s="13">
        <v>0</v>
      </c>
      <c r="C129" s="13">
        <v>0</v>
      </c>
      <c r="D129" s="13">
        <v>0</v>
      </c>
      <c r="E129" s="13">
        <v>0</v>
      </c>
      <c r="F129" s="19">
        <v>0</v>
      </c>
      <c r="G129" s="34">
        <f ca="1">IF(A129&lt;&gt;"",AVERAGE(E129:OFFSET(E129,-G$2+1,0)),0)</f>
        <v>0</v>
      </c>
      <c r="H129" s="16">
        <f ca="1">IF(A129&lt;&gt;"",AVERAGE(E129:OFFSET(E129,-H$2+1,0)),0)</f>
        <v>0</v>
      </c>
      <c r="I129" s="18">
        <f t="shared" ca="1" si="3"/>
        <v>0</v>
      </c>
      <c r="J129" s="4" t="str">
        <f t="shared" ca="1" si="2"/>
        <v xml:space="preserve"> </v>
      </c>
    </row>
    <row r="130" spans="1:10">
      <c r="A130" s="12"/>
      <c r="B130" s="13">
        <v>0</v>
      </c>
      <c r="C130" s="13">
        <v>0</v>
      </c>
      <c r="D130" s="13">
        <v>0</v>
      </c>
      <c r="E130" s="13">
        <v>0</v>
      </c>
      <c r="F130" s="19">
        <v>0</v>
      </c>
      <c r="G130" s="34">
        <f ca="1">IF(A130&lt;&gt;"",AVERAGE(E130:OFFSET(E130,-G$2+1,0)),0)</f>
        <v>0</v>
      </c>
      <c r="H130" s="16">
        <f ca="1">IF(A130&lt;&gt;"",AVERAGE(E130:OFFSET(E130,-H$2+1,0)),0)</f>
        <v>0</v>
      </c>
      <c r="I130" s="18">
        <f t="shared" ca="1" si="3"/>
        <v>0</v>
      </c>
      <c r="J130" s="4" t="str">
        <f t="shared" ca="1" si="2"/>
        <v xml:space="preserve"> </v>
      </c>
    </row>
    <row r="131" spans="1:10">
      <c r="A131" s="12"/>
      <c r="B131" s="13">
        <v>0</v>
      </c>
      <c r="C131" s="13">
        <v>0</v>
      </c>
      <c r="D131" s="13">
        <v>0</v>
      </c>
      <c r="E131" s="13">
        <v>0</v>
      </c>
      <c r="F131" s="19">
        <v>0</v>
      </c>
      <c r="G131" s="34">
        <f ca="1">IF(A131&lt;&gt;"",AVERAGE(E131:OFFSET(E131,-G$2+1,0)),0)</f>
        <v>0</v>
      </c>
      <c r="H131" s="16">
        <f ca="1">IF(A131&lt;&gt;"",AVERAGE(E131:OFFSET(E131,-H$2+1,0)),0)</f>
        <v>0</v>
      </c>
      <c r="I131" s="18">
        <f t="shared" ca="1" si="3"/>
        <v>0</v>
      </c>
      <c r="J131" s="4" t="str">
        <f t="shared" ca="1" si="2"/>
        <v xml:space="preserve"> </v>
      </c>
    </row>
    <row r="132" spans="1:10">
      <c r="A132" s="12"/>
      <c r="B132" s="13">
        <v>0</v>
      </c>
      <c r="C132" s="13">
        <v>0</v>
      </c>
      <c r="D132" s="13">
        <v>0</v>
      </c>
      <c r="E132" s="13">
        <v>0</v>
      </c>
      <c r="F132" s="19">
        <v>0</v>
      </c>
      <c r="G132" s="34">
        <f ca="1">IF(A132&lt;&gt;"",AVERAGE(E132:OFFSET(E132,-G$2+1,0)),0)</f>
        <v>0</v>
      </c>
      <c r="H132" s="16">
        <f ca="1">IF(A132&lt;&gt;"",AVERAGE(E132:OFFSET(E132,-H$2+1,0)),0)</f>
        <v>0</v>
      </c>
      <c r="I132" s="18">
        <f t="shared" ca="1" si="3"/>
        <v>0</v>
      </c>
      <c r="J132" s="4" t="str">
        <f t="shared" ca="1" si="2"/>
        <v xml:space="preserve"> </v>
      </c>
    </row>
    <row r="133" spans="1:10">
      <c r="A133" s="12"/>
      <c r="B133" s="13">
        <v>0</v>
      </c>
      <c r="C133" s="13">
        <v>0</v>
      </c>
      <c r="D133" s="13">
        <v>0</v>
      </c>
      <c r="E133" s="13">
        <v>0</v>
      </c>
      <c r="F133" s="19">
        <v>0</v>
      </c>
      <c r="G133" s="34">
        <f ca="1">IF(A133&lt;&gt;"",AVERAGE(E133:OFFSET(E133,-G$2+1,0)),0)</f>
        <v>0</v>
      </c>
      <c r="H133" s="16">
        <f ca="1">IF(A133&lt;&gt;"",AVERAGE(E133:OFFSET(E133,-H$2+1,0)),0)</f>
        <v>0</v>
      </c>
      <c r="I133" s="18">
        <f t="shared" ca="1" si="3"/>
        <v>0</v>
      </c>
      <c r="J133" s="4" t="str">
        <f t="shared" ca="1" si="2"/>
        <v xml:space="preserve"> </v>
      </c>
    </row>
    <row r="134" spans="1:10">
      <c r="A134" s="12"/>
      <c r="B134" s="13">
        <v>0</v>
      </c>
      <c r="C134" s="13">
        <v>0</v>
      </c>
      <c r="D134" s="13">
        <v>0</v>
      </c>
      <c r="E134" s="13">
        <v>0</v>
      </c>
      <c r="F134" s="19">
        <v>0</v>
      </c>
      <c r="G134" s="34">
        <f ca="1">IF(A134&lt;&gt;"",AVERAGE(E134:OFFSET(E134,-G$2+1,0)),0)</f>
        <v>0</v>
      </c>
      <c r="H134" s="16">
        <f ca="1">IF(A134&lt;&gt;"",AVERAGE(E134:OFFSET(E134,-H$2+1,0)),0)</f>
        <v>0</v>
      </c>
      <c r="I134" s="18">
        <f t="shared" ca="1" si="3"/>
        <v>0</v>
      </c>
      <c r="J134" s="4" t="str">
        <f t="shared" ca="1" si="2"/>
        <v xml:space="preserve"> </v>
      </c>
    </row>
    <row r="135" spans="1:10">
      <c r="A135" s="12"/>
      <c r="B135" s="13">
        <v>0</v>
      </c>
      <c r="C135" s="13">
        <v>0</v>
      </c>
      <c r="D135" s="13">
        <v>0</v>
      </c>
      <c r="E135" s="13">
        <v>0</v>
      </c>
      <c r="F135" s="19">
        <v>0</v>
      </c>
      <c r="G135" s="34">
        <f ca="1">IF(A135&lt;&gt;"",AVERAGE(E135:OFFSET(E135,-G$2+1,0)),0)</f>
        <v>0</v>
      </c>
      <c r="H135" s="16">
        <f ca="1">IF(A135&lt;&gt;"",AVERAGE(E135:OFFSET(E135,-H$2+1,0)),0)</f>
        <v>0</v>
      </c>
      <c r="I135" s="18">
        <f t="shared" ca="1" si="3"/>
        <v>0</v>
      </c>
      <c r="J135" s="4" t="str">
        <f t="shared" ca="1" si="2"/>
        <v xml:space="preserve"> </v>
      </c>
    </row>
    <row r="136" spans="1:10">
      <c r="A136" s="12"/>
      <c r="B136" s="13">
        <v>0</v>
      </c>
      <c r="C136" s="13">
        <v>0</v>
      </c>
      <c r="D136" s="13">
        <v>0</v>
      </c>
      <c r="E136" s="13">
        <v>0</v>
      </c>
      <c r="F136" s="19">
        <v>0</v>
      </c>
      <c r="G136" s="34">
        <f ca="1">IF(A136&lt;&gt;"",AVERAGE(E136:OFFSET(E136,-G$2+1,0)),0)</f>
        <v>0</v>
      </c>
      <c r="H136" s="16">
        <f ca="1">IF(A136&lt;&gt;"",AVERAGE(E136:OFFSET(E136,-H$2+1,0)),0)</f>
        <v>0</v>
      </c>
      <c r="I136" s="18">
        <f t="shared" ca="1" si="3"/>
        <v>0</v>
      </c>
      <c r="J136" s="4" t="str">
        <f t="shared" ca="1" si="2"/>
        <v xml:space="preserve"> </v>
      </c>
    </row>
    <row r="137" spans="1:10">
      <c r="A137" s="12"/>
      <c r="B137" s="13">
        <v>0</v>
      </c>
      <c r="C137" s="13">
        <v>0</v>
      </c>
      <c r="D137" s="13">
        <v>0</v>
      </c>
      <c r="E137" s="13">
        <v>0</v>
      </c>
      <c r="F137" s="19">
        <v>0</v>
      </c>
      <c r="G137" s="34">
        <f ca="1">IF(A137&lt;&gt;"",AVERAGE(E137:OFFSET(E137,-G$2+1,0)),0)</f>
        <v>0</v>
      </c>
      <c r="H137" s="16">
        <f ca="1">IF(A137&lt;&gt;"",AVERAGE(E137:OFFSET(E137,-H$2+1,0)),0)</f>
        <v>0</v>
      </c>
      <c r="I137" s="18">
        <f t="shared" ca="1" si="3"/>
        <v>0</v>
      </c>
      <c r="J137" s="4" t="str">
        <f t="shared" ca="1" si="2"/>
        <v xml:space="preserve"> </v>
      </c>
    </row>
    <row r="138" spans="1:10">
      <c r="A138" s="12"/>
      <c r="B138" s="13">
        <v>0</v>
      </c>
      <c r="C138" s="13">
        <v>0</v>
      </c>
      <c r="D138" s="13">
        <v>0</v>
      </c>
      <c r="E138" s="13">
        <v>0</v>
      </c>
      <c r="F138" s="19">
        <v>0</v>
      </c>
      <c r="G138" s="34">
        <f ca="1">IF(A138&lt;&gt;"",AVERAGE(E138:OFFSET(E138,-G$2+1,0)),0)</f>
        <v>0</v>
      </c>
      <c r="H138" s="16">
        <f ca="1">IF(A138&lt;&gt;"",AVERAGE(E138:OFFSET(E138,-H$2+1,0)),0)</f>
        <v>0</v>
      </c>
      <c r="I138" s="18">
        <f t="shared" ca="1" si="3"/>
        <v>0</v>
      </c>
      <c r="J138" s="4" t="str">
        <f t="shared" ca="1" si="2"/>
        <v xml:space="preserve"> </v>
      </c>
    </row>
    <row r="139" spans="1:10">
      <c r="A139" s="12"/>
      <c r="B139" s="13">
        <v>0</v>
      </c>
      <c r="C139" s="13">
        <v>0</v>
      </c>
      <c r="D139" s="13">
        <v>0</v>
      </c>
      <c r="E139" s="13">
        <v>0</v>
      </c>
      <c r="F139" s="19">
        <v>0</v>
      </c>
      <c r="G139" s="34">
        <f ca="1">IF(A139&lt;&gt;"",AVERAGE(E139:OFFSET(E139,-G$2+1,0)),0)</f>
        <v>0</v>
      </c>
      <c r="H139" s="16">
        <f ca="1">IF(A139&lt;&gt;"",AVERAGE(E139:OFFSET(E139,-H$2+1,0)),0)</f>
        <v>0</v>
      </c>
      <c r="I139" s="18">
        <f t="shared" ca="1" si="3"/>
        <v>0</v>
      </c>
      <c r="J139" s="4" t="str">
        <f t="shared" ca="1" si="2"/>
        <v xml:space="preserve"> </v>
      </c>
    </row>
    <row r="140" spans="1:10">
      <c r="A140" s="12"/>
      <c r="B140" s="13">
        <v>0</v>
      </c>
      <c r="C140" s="13">
        <v>0</v>
      </c>
      <c r="D140" s="13">
        <v>0</v>
      </c>
      <c r="E140" s="13">
        <v>0</v>
      </c>
      <c r="F140" s="19">
        <v>0</v>
      </c>
      <c r="G140" s="34">
        <f ca="1">IF(A140&lt;&gt;"",AVERAGE(E140:OFFSET(E140,-G$2+1,0)),0)</f>
        <v>0</v>
      </c>
      <c r="H140" s="16">
        <f ca="1">IF(A140&lt;&gt;"",AVERAGE(E140:OFFSET(E140,-H$2+1,0)),0)</f>
        <v>0</v>
      </c>
      <c r="I140" s="18">
        <f t="shared" ca="1" si="3"/>
        <v>0</v>
      </c>
      <c r="J140" s="4" t="str">
        <f t="shared" ca="1" si="2"/>
        <v xml:space="preserve"> </v>
      </c>
    </row>
    <row r="141" spans="1:10">
      <c r="A141" s="12"/>
      <c r="B141" s="13">
        <v>0</v>
      </c>
      <c r="C141" s="13">
        <v>0</v>
      </c>
      <c r="D141" s="13">
        <v>0</v>
      </c>
      <c r="E141" s="13">
        <v>0</v>
      </c>
      <c r="F141" s="19">
        <v>0</v>
      </c>
      <c r="G141" s="34">
        <f ca="1">IF(A141&lt;&gt;"",AVERAGE(E141:OFFSET(E141,-G$2+1,0)),0)</f>
        <v>0</v>
      </c>
      <c r="H141" s="16">
        <f ca="1">IF(A141&lt;&gt;"",AVERAGE(E141:OFFSET(E141,-H$2+1,0)),0)</f>
        <v>0</v>
      </c>
      <c r="I141" s="18">
        <f t="shared" ca="1" si="3"/>
        <v>0</v>
      </c>
      <c r="J141" s="4" t="str">
        <f t="shared" ca="1" si="2"/>
        <v xml:space="preserve"> </v>
      </c>
    </row>
    <row r="142" spans="1:10">
      <c r="A142" s="12"/>
      <c r="B142" s="13">
        <v>0</v>
      </c>
      <c r="C142" s="13">
        <v>0</v>
      </c>
      <c r="D142" s="13">
        <v>0</v>
      </c>
      <c r="E142" s="13">
        <v>0</v>
      </c>
      <c r="F142" s="19">
        <v>0</v>
      </c>
      <c r="G142" s="34">
        <f ca="1">IF(A142&lt;&gt;"",AVERAGE(E142:OFFSET(E142,-G$2+1,0)),0)</f>
        <v>0</v>
      </c>
      <c r="H142" s="16">
        <f ca="1">IF(A142&lt;&gt;"",AVERAGE(E142:OFFSET(E142,-H$2+1,0)),0)</f>
        <v>0</v>
      </c>
      <c r="I142" s="18">
        <f t="shared" ca="1" si="3"/>
        <v>0</v>
      </c>
      <c r="J142" s="4" t="str">
        <f t="shared" ca="1" si="2"/>
        <v xml:space="preserve"> </v>
      </c>
    </row>
    <row r="143" spans="1:10">
      <c r="A143" s="12"/>
      <c r="B143" s="13">
        <v>0</v>
      </c>
      <c r="C143" s="13">
        <v>0</v>
      </c>
      <c r="D143" s="13">
        <v>0</v>
      </c>
      <c r="E143" s="13">
        <v>0</v>
      </c>
      <c r="F143" s="19">
        <v>0</v>
      </c>
      <c r="G143" s="34">
        <f ca="1">IF(A143&lt;&gt;"",AVERAGE(E143:OFFSET(E143,-G$2+1,0)),0)</f>
        <v>0</v>
      </c>
      <c r="H143" s="16">
        <f ca="1">IF(A143&lt;&gt;"",AVERAGE(E143:OFFSET(E143,-H$2+1,0)),0)</f>
        <v>0</v>
      </c>
      <c r="I143" s="18">
        <f t="shared" ca="1" si="3"/>
        <v>0</v>
      </c>
      <c r="J143" s="4" t="str">
        <f t="shared" ca="1" si="2"/>
        <v xml:space="preserve"> </v>
      </c>
    </row>
    <row r="144" spans="1:10">
      <c r="A144" s="12"/>
      <c r="B144" s="13">
        <v>0</v>
      </c>
      <c r="C144" s="13">
        <v>0</v>
      </c>
      <c r="D144" s="13">
        <v>0</v>
      </c>
      <c r="E144" s="13">
        <v>0</v>
      </c>
      <c r="F144" s="19">
        <v>0</v>
      </c>
      <c r="G144" s="34">
        <f ca="1">IF(A144&lt;&gt;"",AVERAGE(E144:OFFSET(E144,-G$2+1,0)),0)</f>
        <v>0</v>
      </c>
      <c r="H144" s="16">
        <f ca="1">IF(A144&lt;&gt;"",AVERAGE(E144:OFFSET(E144,-H$2+1,0)),0)</f>
        <v>0</v>
      </c>
      <c r="I144" s="18">
        <f t="shared" ca="1" si="3"/>
        <v>0</v>
      </c>
      <c r="J144" s="4" t="str">
        <f t="shared" ca="1" si="2"/>
        <v xml:space="preserve"> </v>
      </c>
    </row>
    <row r="145" spans="1:10">
      <c r="A145" s="12"/>
      <c r="B145" s="13">
        <v>0</v>
      </c>
      <c r="C145" s="13">
        <v>0</v>
      </c>
      <c r="D145" s="13">
        <v>0</v>
      </c>
      <c r="E145" s="13">
        <v>0</v>
      </c>
      <c r="F145" s="19">
        <v>0</v>
      </c>
      <c r="G145" s="34">
        <f ca="1">IF(A145&lt;&gt;"",AVERAGE(E145:OFFSET(E145,-G$2+1,0)),0)</f>
        <v>0</v>
      </c>
      <c r="H145" s="16">
        <f ca="1">IF(A145&lt;&gt;"",AVERAGE(E145:OFFSET(E145,-H$2+1,0)),0)</f>
        <v>0</v>
      </c>
      <c r="I145" s="18">
        <f t="shared" ca="1" si="3"/>
        <v>0</v>
      </c>
      <c r="J145" s="4" t="str">
        <f t="shared" ca="1" si="2"/>
        <v xml:space="preserve"> </v>
      </c>
    </row>
    <row r="146" spans="1:10">
      <c r="A146" s="12"/>
      <c r="B146" s="13">
        <v>0</v>
      </c>
      <c r="C146" s="13">
        <v>0</v>
      </c>
      <c r="D146" s="13">
        <v>0</v>
      </c>
      <c r="E146" s="13">
        <v>0</v>
      </c>
      <c r="F146" s="19">
        <v>0</v>
      </c>
      <c r="G146" s="34">
        <f ca="1">IF(A146&lt;&gt;"",AVERAGE(E146:OFFSET(E146,-G$2+1,0)),0)</f>
        <v>0</v>
      </c>
      <c r="H146" s="16">
        <f ca="1">IF(A146&lt;&gt;"",AVERAGE(E146:OFFSET(E146,-H$2+1,0)),0)</f>
        <v>0</v>
      </c>
      <c r="I146" s="18">
        <f t="shared" ca="1" si="3"/>
        <v>0</v>
      </c>
      <c r="J146" s="4" t="str">
        <f t="shared" ca="1" si="2"/>
        <v xml:space="preserve"> </v>
      </c>
    </row>
    <row r="147" spans="1:10">
      <c r="A147" s="12"/>
      <c r="B147" s="13">
        <v>0</v>
      </c>
      <c r="C147" s="13">
        <v>0</v>
      </c>
      <c r="D147" s="13">
        <v>0</v>
      </c>
      <c r="E147" s="13">
        <v>0</v>
      </c>
      <c r="F147" s="19">
        <v>0</v>
      </c>
      <c r="G147" s="34">
        <f ca="1">IF(A147&lt;&gt;"",AVERAGE(E147:OFFSET(E147,-G$2+1,0)),0)</f>
        <v>0</v>
      </c>
      <c r="H147" s="16">
        <f ca="1">IF(A147&lt;&gt;"",AVERAGE(E147:OFFSET(E147,-H$2+1,0)),0)</f>
        <v>0</v>
      </c>
      <c r="I147" s="18">
        <f t="shared" ca="1" si="3"/>
        <v>0</v>
      </c>
      <c r="J147" s="4" t="str">
        <f t="shared" ca="1" si="2"/>
        <v xml:space="preserve"> </v>
      </c>
    </row>
    <row r="148" spans="1:10">
      <c r="A148" s="12"/>
      <c r="B148" s="13">
        <v>0</v>
      </c>
      <c r="C148" s="13">
        <v>0</v>
      </c>
      <c r="D148" s="13">
        <v>0</v>
      </c>
      <c r="E148" s="13">
        <v>0</v>
      </c>
      <c r="F148" s="19">
        <v>0</v>
      </c>
      <c r="G148" s="34">
        <f ca="1">IF(A148&lt;&gt;"",AVERAGE(E148:OFFSET(E148,-G$2+1,0)),0)</f>
        <v>0</v>
      </c>
      <c r="H148" s="16">
        <f ca="1">IF(A148&lt;&gt;"",AVERAGE(E148:OFFSET(E148,-H$2+1,0)),0)</f>
        <v>0</v>
      </c>
      <c r="I148" s="18">
        <f t="shared" ca="1" si="3"/>
        <v>0</v>
      </c>
      <c r="J148" s="4" t="str">
        <f t="shared" ca="1" si="2"/>
        <v xml:space="preserve"> </v>
      </c>
    </row>
    <row r="149" spans="1:10">
      <c r="A149" s="12"/>
      <c r="B149" s="13">
        <v>0</v>
      </c>
      <c r="C149" s="13">
        <v>0</v>
      </c>
      <c r="D149" s="13">
        <v>0</v>
      </c>
      <c r="E149" s="13">
        <v>0</v>
      </c>
      <c r="F149" s="19">
        <v>0</v>
      </c>
      <c r="G149" s="34">
        <f ca="1">IF(A149&lt;&gt;"",AVERAGE(E149:OFFSET(E149,-G$2+1,0)),0)</f>
        <v>0</v>
      </c>
      <c r="H149" s="16">
        <f ca="1">IF(A149&lt;&gt;"",AVERAGE(E149:OFFSET(E149,-H$2+1,0)),0)</f>
        <v>0</v>
      </c>
      <c r="I149" s="18">
        <f t="shared" ca="1" si="3"/>
        <v>0</v>
      </c>
      <c r="J149" s="4" t="str">
        <f t="shared" ref="J149:J180" ca="1" si="4">IF(I149=1,"作多一口期貨",IF(I149=-1,"作空一口期貨"," "))</f>
        <v xml:space="preserve"> </v>
      </c>
    </row>
    <row r="150" spans="1:10">
      <c r="A150" s="12"/>
      <c r="B150" s="13">
        <v>0</v>
      </c>
      <c r="C150" s="13">
        <v>0</v>
      </c>
      <c r="D150" s="13">
        <v>0</v>
      </c>
      <c r="E150" s="13">
        <v>0</v>
      </c>
      <c r="F150" s="19">
        <v>0</v>
      </c>
      <c r="G150" s="34">
        <f ca="1">IF(A150&lt;&gt;"",AVERAGE(E150:OFFSET(E150,-G$2+1,0)),0)</f>
        <v>0</v>
      </c>
      <c r="H150" s="16">
        <f ca="1">IF(A150&lt;&gt;"",AVERAGE(E150:OFFSET(E150,-H$2+1,0)),0)</f>
        <v>0</v>
      </c>
      <c r="I150" s="18">
        <f t="shared" ref="I150:I213" ca="1" si="5">IF(AND(G149&lt;=H149,G150&gt;H150),1,IF(AND(G149&gt;=H149,G150&lt;H150),-1,0))</f>
        <v>0</v>
      </c>
      <c r="J150" s="4" t="str">
        <f t="shared" ca="1" si="4"/>
        <v xml:space="preserve"> </v>
      </c>
    </row>
    <row r="151" spans="1:10">
      <c r="A151" s="12"/>
      <c r="B151" s="13">
        <v>0</v>
      </c>
      <c r="C151" s="13">
        <v>0</v>
      </c>
      <c r="D151" s="13">
        <v>0</v>
      </c>
      <c r="E151" s="13">
        <v>0</v>
      </c>
      <c r="F151" s="19">
        <v>0</v>
      </c>
      <c r="G151" s="34">
        <f ca="1">IF(A151&lt;&gt;"",AVERAGE(E151:OFFSET(E151,-G$2+1,0)),0)</f>
        <v>0</v>
      </c>
      <c r="H151" s="16">
        <f ca="1">IF(A151&lt;&gt;"",AVERAGE(E151:OFFSET(E151,-H$2+1,0)),0)</f>
        <v>0</v>
      </c>
      <c r="I151" s="18">
        <f t="shared" ca="1" si="5"/>
        <v>0</v>
      </c>
      <c r="J151" s="4" t="str">
        <f t="shared" ca="1" si="4"/>
        <v xml:space="preserve"> </v>
      </c>
    </row>
    <row r="152" spans="1:10">
      <c r="A152" s="12"/>
      <c r="B152" s="13">
        <v>0</v>
      </c>
      <c r="C152" s="13">
        <v>0</v>
      </c>
      <c r="D152" s="13">
        <v>0</v>
      </c>
      <c r="E152" s="13">
        <v>0</v>
      </c>
      <c r="F152" s="19">
        <v>0</v>
      </c>
      <c r="G152" s="34">
        <f ca="1">IF(A152&lt;&gt;"",AVERAGE(E152:OFFSET(E152,-G$2+1,0)),0)</f>
        <v>0</v>
      </c>
      <c r="H152" s="16">
        <f ca="1">IF(A152&lt;&gt;"",AVERAGE(E152:OFFSET(E152,-H$2+1,0)),0)</f>
        <v>0</v>
      </c>
      <c r="I152" s="18">
        <f t="shared" ca="1" si="5"/>
        <v>0</v>
      </c>
      <c r="J152" s="4" t="str">
        <f t="shared" ca="1" si="4"/>
        <v xml:space="preserve"> </v>
      </c>
    </row>
    <row r="153" spans="1:10">
      <c r="A153" s="12"/>
      <c r="B153" s="13">
        <v>0</v>
      </c>
      <c r="C153" s="13">
        <v>0</v>
      </c>
      <c r="D153" s="13">
        <v>0</v>
      </c>
      <c r="E153" s="13">
        <v>0</v>
      </c>
      <c r="F153" s="19">
        <v>0</v>
      </c>
      <c r="G153" s="34">
        <f ca="1">IF(A153&lt;&gt;"",AVERAGE(E153:OFFSET(E153,-G$2+1,0)),0)</f>
        <v>0</v>
      </c>
      <c r="H153" s="16">
        <f ca="1">IF(A153&lt;&gt;"",AVERAGE(E153:OFFSET(E153,-H$2+1,0)),0)</f>
        <v>0</v>
      </c>
      <c r="I153" s="18">
        <f t="shared" ca="1" si="5"/>
        <v>0</v>
      </c>
      <c r="J153" s="4" t="str">
        <f t="shared" ca="1" si="4"/>
        <v xml:space="preserve"> </v>
      </c>
    </row>
    <row r="154" spans="1:10">
      <c r="A154" s="12"/>
      <c r="B154" s="13">
        <v>0</v>
      </c>
      <c r="C154" s="13">
        <v>0</v>
      </c>
      <c r="D154" s="13">
        <v>0</v>
      </c>
      <c r="E154" s="13">
        <v>0</v>
      </c>
      <c r="F154" s="19">
        <v>0</v>
      </c>
      <c r="G154" s="34">
        <f ca="1">IF(A154&lt;&gt;"",AVERAGE(E154:OFFSET(E154,-G$2+1,0)),0)</f>
        <v>0</v>
      </c>
      <c r="H154" s="16">
        <f ca="1">IF(A154&lt;&gt;"",AVERAGE(E154:OFFSET(E154,-H$2+1,0)),0)</f>
        <v>0</v>
      </c>
      <c r="I154" s="18">
        <f t="shared" ca="1" si="5"/>
        <v>0</v>
      </c>
      <c r="J154" s="4" t="str">
        <f t="shared" ca="1" si="4"/>
        <v xml:space="preserve"> </v>
      </c>
    </row>
    <row r="155" spans="1:10">
      <c r="A155" s="12"/>
      <c r="B155" s="13">
        <v>0</v>
      </c>
      <c r="C155" s="13">
        <v>0</v>
      </c>
      <c r="D155" s="13">
        <v>0</v>
      </c>
      <c r="E155" s="13">
        <v>0</v>
      </c>
      <c r="F155" s="19">
        <v>0</v>
      </c>
      <c r="G155" s="34">
        <f ca="1">IF(A155&lt;&gt;"",AVERAGE(E155:OFFSET(E155,-G$2+1,0)),0)</f>
        <v>0</v>
      </c>
      <c r="H155" s="16">
        <f ca="1">IF(A155&lt;&gt;"",AVERAGE(E155:OFFSET(E155,-H$2+1,0)),0)</f>
        <v>0</v>
      </c>
      <c r="I155" s="18">
        <f t="shared" ca="1" si="5"/>
        <v>0</v>
      </c>
      <c r="J155" s="4" t="str">
        <f t="shared" ca="1" si="4"/>
        <v xml:space="preserve"> </v>
      </c>
    </row>
    <row r="156" spans="1:10">
      <c r="A156" s="12"/>
      <c r="B156" s="13">
        <v>0</v>
      </c>
      <c r="C156" s="13">
        <v>0</v>
      </c>
      <c r="D156" s="13">
        <v>0</v>
      </c>
      <c r="E156" s="13">
        <v>0</v>
      </c>
      <c r="F156" s="19">
        <v>0</v>
      </c>
      <c r="G156" s="34">
        <f ca="1">IF(A156&lt;&gt;"",AVERAGE(E156:OFFSET(E156,-G$2+1,0)),0)</f>
        <v>0</v>
      </c>
      <c r="H156" s="16">
        <f ca="1">IF(A156&lt;&gt;"",AVERAGE(E156:OFFSET(E156,-H$2+1,0)),0)</f>
        <v>0</v>
      </c>
      <c r="I156" s="18">
        <f t="shared" ca="1" si="5"/>
        <v>0</v>
      </c>
      <c r="J156" s="4" t="str">
        <f t="shared" ca="1" si="4"/>
        <v xml:space="preserve"> </v>
      </c>
    </row>
    <row r="157" spans="1:10">
      <c r="A157" s="12"/>
      <c r="B157" s="13">
        <v>0</v>
      </c>
      <c r="C157" s="13">
        <v>0</v>
      </c>
      <c r="D157" s="13">
        <v>0</v>
      </c>
      <c r="E157" s="13">
        <v>0</v>
      </c>
      <c r="F157" s="19">
        <v>0</v>
      </c>
      <c r="G157" s="34">
        <f ca="1">IF(A157&lt;&gt;"",AVERAGE(E157:OFFSET(E157,-G$2+1,0)),0)</f>
        <v>0</v>
      </c>
      <c r="H157" s="16">
        <f ca="1">IF(A157&lt;&gt;"",AVERAGE(E157:OFFSET(E157,-H$2+1,0)),0)</f>
        <v>0</v>
      </c>
      <c r="I157" s="18">
        <f t="shared" ca="1" si="5"/>
        <v>0</v>
      </c>
      <c r="J157" s="4" t="str">
        <f t="shared" ca="1" si="4"/>
        <v xml:space="preserve"> </v>
      </c>
    </row>
    <row r="158" spans="1:10">
      <c r="A158" s="12"/>
      <c r="B158" s="13">
        <v>0</v>
      </c>
      <c r="C158" s="13">
        <v>0</v>
      </c>
      <c r="D158" s="13">
        <v>0</v>
      </c>
      <c r="E158" s="13">
        <v>0</v>
      </c>
      <c r="F158" s="19">
        <v>0</v>
      </c>
      <c r="G158" s="34">
        <f ca="1">IF(A158&lt;&gt;"",AVERAGE(E158:OFFSET(E158,-G$2+1,0)),0)</f>
        <v>0</v>
      </c>
      <c r="H158" s="16">
        <f ca="1">IF(A158&lt;&gt;"",AVERAGE(E158:OFFSET(E158,-H$2+1,0)),0)</f>
        <v>0</v>
      </c>
      <c r="I158" s="18">
        <f t="shared" ca="1" si="5"/>
        <v>0</v>
      </c>
      <c r="J158" s="4" t="str">
        <f t="shared" ca="1" si="4"/>
        <v xml:space="preserve"> </v>
      </c>
    </row>
    <row r="159" spans="1:10">
      <c r="A159" s="12"/>
      <c r="B159" s="13">
        <v>0</v>
      </c>
      <c r="C159" s="13">
        <v>0</v>
      </c>
      <c r="D159" s="13">
        <v>0</v>
      </c>
      <c r="E159" s="13">
        <v>0</v>
      </c>
      <c r="F159" s="19">
        <v>0</v>
      </c>
      <c r="G159" s="34">
        <f ca="1">IF(A159&lt;&gt;"",AVERAGE(E159:OFFSET(E159,-G$2+1,0)),0)</f>
        <v>0</v>
      </c>
      <c r="H159" s="16">
        <f ca="1">IF(A159&lt;&gt;"",AVERAGE(E159:OFFSET(E159,-H$2+1,0)),0)</f>
        <v>0</v>
      </c>
      <c r="I159" s="18">
        <f t="shared" ca="1" si="5"/>
        <v>0</v>
      </c>
      <c r="J159" s="4" t="str">
        <f t="shared" ca="1" si="4"/>
        <v xml:space="preserve"> </v>
      </c>
    </row>
    <row r="160" spans="1:10">
      <c r="A160" s="12"/>
      <c r="B160" s="13">
        <v>0</v>
      </c>
      <c r="C160" s="13">
        <v>0</v>
      </c>
      <c r="D160" s="13">
        <v>0</v>
      </c>
      <c r="E160" s="13">
        <v>0</v>
      </c>
      <c r="F160" s="19">
        <v>0</v>
      </c>
      <c r="G160" s="34">
        <f ca="1">IF(A160&lt;&gt;"",AVERAGE(E160:OFFSET(E160,-G$2+1,0)),0)</f>
        <v>0</v>
      </c>
      <c r="H160" s="16">
        <f ca="1">IF(A160&lt;&gt;"",AVERAGE(E160:OFFSET(E160,-H$2+1,0)),0)</f>
        <v>0</v>
      </c>
      <c r="I160" s="18">
        <f t="shared" ca="1" si="5"/>
        <v>0</v>
      </c>
      <c r="J160" s="4" t="str">
        <f t="shared" ca="1" si="4"/>
        <v xml:space="preserve"> </v>
      </c>
    </row>
    <row r="161" spans="1:10">
      <c r="A161" s="12"/>
      <c r="B161" s="13">
        <v>0</v>
      </c>
      <c r="C161" s="13">
        <v>0</v>
      </c>
      <c r="D161" s="13">
        <v>0</v>
      </c>
      <c r="E161" s="13">
        <v>0</v>
      </c>
      <c r="F161" s="19">
        <v>0</v>
      </c>
      <c r="G161" s="34">
        <f ca="1">IF(A161&lt;&gt;"",AVERAGE(E161:OFFSET(E161,-G$2+1,0)),0)</f>
        <v>0</v>
      </c>
      <c r="H161" s="16">
        <f ca="1">IF(A161&lt;&gt;"",AVERAGE(E161:OFFSET(E161,-H$2+1,0)),0)</f>
        <v>0</v>
      </c>
      <c r="I161" s="18">
        <f t="shared" ca="1" si="5"/>
        <v>0</v>
      </c>
      <c r="J161" s="4" t="str">
        <f t="shared" ca="1" si="4"/>
        <v xml:space="preserve"> </v>
      </c>
    </row>
    <row r="162" spans="1:10">
      <c r="A162" s="12"/>
      <c r="B162" s="13">
        <v>0</v>
      </c>
      <c r="C162" s="13">
        <v>0</v>
      </c>
      <c r="D162" s="13">
        <v>0</v>
      </c>
      <c r="E162" s="13">
        <v>0</v>
      </c>
      <c r="F162" s="19">
        <v>0</v>
      </c>
      <c r="G162" s="34">
        <f ca="1">IF(A162&lt;&gt;"",AVERAGE(E162:OFFSET(E162,-G$2+1,0)),0)</f>
        <v>0</v>
      </c>
      <c r="H162" s="16">
        <f ca="1">IF(A162&lt;&gt;"",AVERAGE(E162:OFFSET(E162,-H$2+1,0)),0)</f>
        <v>0</v>
      </c>
      <c r="I162" s="18">
        <f t="shared" ca="1" si="5"/>
        <v>0</v>
      </c>
      <c r="J162" s="4" t="str">
        <f t="shared" ca="1" si="4"/>
        <v xml:space="preserve"> </v>
      </c>
    </row>
    <row r="163" spans="1:10">
      <c r="A163" s="12"/>
      <c r="B163" s="13">
        <v>0</v>
      </c>
      <c r="C163" s="13">
        <v>0</v>
      </c>
      <c r="D163" s="13">
        <v>0</v>
      </c>
      <c r="E163" s="13">
        <v>0</v>
      </c>
      <c r="F163" s="19">
        <v>0</v>
      </c>
      <c r="G163" s="34">
        <f ca="1">IF(A163&lt;&gt;"",AVERAGE(E163:OFFSET(E163,-G$2+1,0)),0)</f>
        <v>0</v>
      </c>
      <c r="H163" s="16">
        <f ca="1">IF(A163&lt;&gt;"",AVERAGE(E163:OFFSET(E163,-H$2+1,0)),0)</f>
        <v>0</v>
      </c>
      <c r="I163" s="18">
        <f t="shared" ca="1" si="5"/>
        <v>0</v>
      </c>
      <c r="J163" s="4" t="str">
        <f t="shared" ca="1" si="4"/>
        <v xml:space="preserve"> </v>
      </c>
    </row>
    <row r="164" spans="1:10">
      <c r="A164" s="12"/>
      <c r="B164" s="13">
        <v>0</v>
      </c>
      <c r="C164" s="13">
        <v>0</v>
      </c>
      <c r="D164" s="13">
        <v>0</v>
      </c>
      <c r="E164" s="13">
        <v>0</v>
      </c>
      <c r="F164" s="19">
        <v>0</v>
      </c>
      <c r="G164" s="34">
        <f ca="1">IF(A164&lt;&gt;"",AVERAGE(E164:OFFSET(E164,-G$2+1,0)),0)</f>
        <v>0</v>
      </c>
      <c r="H164" s="16">
        <f ca="1">IF(A164&lt;&gt;"",AVERAGE(E164:OFFSET(E164,-H$2+1,0)),0)</f>
        <v>0</v>
      </c>
      <c r="I164" s="18">
        <f t="shared" ca="1" si="5"/>
        <v>0</v>
      </c>
      <c r="J164" s="4" t="str">
        <f t="shared" ca="1" si="4"/>
        <v xml:space="preserve"> </v>
      </c>
    </row>
    <row r="165" spans="1:10">
      <c r="A165" s="12"/>
      <c r="B165" s="13">
        <v>0</v>
      </c>
      <c r="C165" s="13">
        <v>0</v>
      </c>
      <c r="D165" s="13">
        <v>0</v>
      </c>
      <c r="E165" s="13">
        <v>0</v>
      </c>
      <c r="F165" s="19">
        <v>0</v>
      </c>
      <c r="G165" s="34">
        <f ca="1">IF(A165&lt;&gt;"",AVERAGE(E165:OFFSET(E165,-G$2+1,0)),0)</f>
        <v>0</v>
      </c>
      <c r="H165" s="16">
        <f ca="1">IF(A165&lt;&gt;"",AVERAGE(E165:OFFSET(E165,-H$2+1,0)),0)</f>
        <v>0</v>
      </c>
      <c r="I165" s="18">
        <f t="shared" ca="1" si="5"/>
        <v>0</v>
      </c>
      <c r="J165" s="4" t="str">
        <f t="shared" ca="1" si="4"/>
        <v xml:space="preserve"> </v>
      </c>
    </row>
    <row r="166" spans="1:10">
      <c r="A166" s="12"/>
      <c r="B166" s="13">
        <v>0</v>
      </c>
      <c r="C166" s="13">
        <v>0</v>
      </c>
      <c r="D166" s="13">
        <v>0</v>
      </c>
      <c r="E166" s="13">
        <v>0</v>
      </c>
      <c r="F166" s="19">
        <v>0</v>
      </c>
      <c r="G166" s="34">
        <f ca="1">IF(A166&lt;&gt;"",AVERAGE(E166:OFFSET(E166,-G$2+1,0)),0)</f>
        <v>0</v>
      </c>
      <c r="H166" s="16">
        <f ca="1">IF(A166&lt;&gt;"",AVERAGE(E166:OFFSET(E166,-H$2+1,0)),0)</f>
        <v>0</v>
      </c>
      <c r="I166" s="18">
        <f t="shared" ca="1" si="5"/>
        <v>0</v>
      </c>
      <c r="J166" s="4" t="str">
        <f t="shared" ca="1" si="4"/>
        <v xml:space="preserve"> </v>
      </c>
    </row>
    <row r="167" spans="1:10">
      <c r="A167" s="12"/>
      <c r="B167" s="13">
        <v>0</v>
      </c>
      <c r="C167" s="13">
        <v>0</v>
      </c>
      <c r="D167" s="13">
        <v>0</v>
      </c>
      <c r="E167" s="13">
        <v>0</v>
      </c>
      <c r="F167" s="19">
        <v>0</v>
      </c>
      <c r="G167" s="34">
        <f ca="1">IF(A167&lt;&gt;"",AVERAGE(E167:OFFSET(E167,-G$2+1,0)),0)</f>
        <v>0</v>
      </c>
      <c r="H167" s="16">
        <f ca="1">IF(A167&lt;&gt;"",AVERAGE(E167:OFFSET(E167,-H$2+1,0)),0)</f>
        <v>0</v>
      </c>
      <c r="I167" s="18">
        <f t="shared" ca="1" si="5"/>
        <v>0</v>
      </c>
      <c r="J167" s="4" t="str">
        <f t="shared" ca="1" si="4"/>
        <v xml:space="preserve"> </v>
      </c>
    </row>
    <row r="168" spans="1:10">
      <c r="A168" s="12"/>
      <c r="B168" s="13">
        <v>0</v>
      </c>
      <c r="C168" s="13">
        <v>0</v>
      </c>
      <c r="D168" s="13">
        <v>0</v>
      </c>
      <c r="E168" s="13">
        <v>0</v>
      </c>
      <c r="F168" s="19">
        <v>0</v>
      </c>
      <c r="G168" s="34">
        <f ca="1">IF(A168&lt;&gt;"",AVERAGE(E168:OFFSET(E168,-G$2+1,0)),0)</f>
        <v>0</v>
      </c>
      <c r="H168" s="16">
        <f ca="1">IF(A168&lt;&gt;"",AVERAGE(E168:OFFSET(E168,-H$2+1,0)),0)</f>
        <v>0</v>
      </c>
      <c r="I168" s="18">
        <f t="shared" ca="1" si="5"/>
        <v>0</v>
      </c>
      <c r="J168" s="4" t="str">
        <f t="shared" ca="1" si="4"/>
        <v xml:space="preserve"> </v>
      </c>
    </row>
    <row r="169" spans="1:10">
      <c r="A169" s="12"/>
      <c r="B169" s="13">
        <v>0</v>
      </c>
      <c r="C169" s="13">
        <v>0</v>
      </c>
      <c r="D169" s="13">
        <v>0</v>
      </c>
      <c r="E169" s="13">
        <v>0</v>
      </c>
      <c r="F169" s="19">
        <v>0</v>
      </c>
      <c r="G169" s="34">
        <f ca="1">IF(A169&lt;&gt;"",AVERAGE(E169:OFFSET(E169,-G$2+1,0)),0)</f>
        <v>0</v>
      </c>
      <c r="H169" s="16">
        <f ca="1">IF(A169&lt;&gt;"",AVERAGE(E169:OFFSET(E169,-H$2+1,0)),0)</f>
        <v>0</v>
      </c>
      <c r="I169" s="18">
        <f t="shared" ca="1" si="5"/>
        <v>0</v>
      </c>
      <c r="J169" s="4" t="str">
        <f t="shared" ca="1" si="4"/>
        <v xml:space="preserve"> </v>
      </c>
    </row>
    <row r="170" spans="1:10">
      <c r="A170" s="12"/>
      <c r="B170" s="13">
        <v>0</v>
      </c>
      <c r="C170" s="13">
        <v>0</v>
      </c>
      <c r="D170" s="13">
        <v>0</v>
      </c>
      <c r="E170" s="13">
        <v>0</v>
      </c>
      <c r="F170" s="19">
        <v>0</v>
      </c>
      <c r="G170" s="34">
        <f ca="1">IF(A170&lt;&gt;"",AVERAGE(E170:OFFSET(E170,-G$2+1,0)),0)</f>
        <v>0</v>
      </c>
      <c r="H170" s="16">
        <f ca="1">IF(A170&lt;&gt;"",AVERAGE(E170:OFFSET(E170,-H$2+1,0)),0)</f>
        <v>0</v>
      </c>
      <c r="I170" s="18">
        <f t="shared" ca="1" si="5"/>
        <v>0</v>
      </c>
      <c r="J170" s="4" t="str">
        <f t="shared" ca="1" si="4"/>
        <v xml:space="preserve"> </v>
      </c>
    </row>
    <row r="171" spans="1:10">
      <c r="A171" s="12"/>
      <c r="B171" s="13">
        <v>0</v>
      </c>
      <c r="C171" s="13">
        <v>0</v>
      </c>
      <c r="D171" s="13">
        <v>0</v>
      </c>
      <c r="E171" s="13">
        <v>0</v>
      </c>
      <c r="F171" s="19">
        <v>0</v>
      </c>
      <c r="G171" s="34">
        <f ca="1">IF(A171&lt;&gt;"",AVERAGE(E171:OFFSET(E171,-G$2+1,0)),0)</f>
        <v>0</v>
      </c>
      <c r="H171" s="16">
        <f ca="1">IF(A171&lt;&gt;"",AVERAGE(E171:OFFSET(E171,-H$2+1,0)),0)</f>
        <v>0</v>
      </c>
      <c r="I171" s="18">
        <f t="shared" ca="1" si="5"/>
        <v>0</v>
      </c>
      <c r="J171" s="4" t="str">
        <f t="shared" ca="1" si="4"/>
        <v xml:space="preserve"> </v>
      </c>
    </row>
    <row r="172" spans="1:10">
      <c r="A172" s="12"/>
      <c r="B172" s="13">
        <v>0</v>
      </c>
      <c r="C172" s="13">
        <v>0</v>
      </c>
      <c r="D172" s="13">
        <v>0</v>
      </c>
      <c r="E172" s="13">
        <v>0</v>
      </c>
      <c r="F172" s="19">
        <v>0</v>
      </c>
      <c r="G172" s="34">
        <f ca="1">IF(A172&lt;&gt;"",AVERAGE(E172:OFFSET(E172,-G$2+1,0)),0)</f>
        <v>0</v>
      </c>
      <c r="H172" s="16">
        <f ca="1">IF(A172&lt;&gt;"",AVERAGE(E172:OFFSET(E172,-H$2+1,0)),0)</f>
        <v>0</v>
      </c>
      <c r="I172" s="18">
        <f t="shared" ca="1" si="5"/>
        <v>0</v>
      </c>
      <c r="J172" s="4" t="str">
        <f t="shared" ca="1" si="4"/>
        <v xml:space="preserve"> </v>
      </c>
    </row>
    <row r="173" spans="1:10">
      <c r="A173" s="12"/>
      <c r="B173" s="13">
        <v>0</v>
      </c>
      <c r="C173" s="13">
        <v>0</v>
      </c>
      <c r="D173" s="13">
        <v>0</v>
      </c>
      <c r="E173" s="13">
        <v>0</v>
      </c>
      <c r="F173" s="19">
        <v>0</v>
      </c>
      <c r="G173" s="34">
        <f ca="1">IF(A173&lt;&gt;"",AVERAGE(E173:OFFSET(E173,-G$2+1,0)),0)</f>
        <v>0</v>
      </c>
      <c r="H173" s="16">
        <f ca="1">IF(A173&lt;&gt;"",AVERAGE(E173:OFFSET(E173,-H$2+1,0)),0)</f>
        <v>0</v>
      </c>
      <c r="I173" s="18">
        <f t="shared" ca="1" si="5"/>
        <v>0</v>
      </c>
      <c r="J173" s="4" t="str">
        <f t="shared" ca="1" si="4"/>
        <v xml:space="preserve"> </v>
      </c>
    </row>
    <row r="174" spans="1:10">
      <c r="A174" s="12"/>
      <c r="B174" s="13">
        <v>0</v>
      </c>
      <c r="C174" s="13">
        <v>0</v>
      </c>
      <c r="D174" s="13">
        <v>0</v>
      </c>
      <c r="E174" s="13">
        <v>0</v>
      </c>
      <c r="F174" s="19">
        <v>0</v>
      </c>
      <c r="G174" s="34">
        <f ca="1">IF(A174&lt;&gt;"",AVERAGE(E174:OFFSET(E174,-G$2+1,0)),0)</f>
        <v>0</v>
      </c>
      <c r="H174" s="16">
        <f ca="1">IF(A174&lt;&gt;"",AVERAGE(E174:OFFSET(E174,-H$2+1,0)),0)</f>
        <v>0</v>
      </c>
      <c r="I174" s="18">
        <f t="shared" ca="1" si="5"/>
        <v>0</v>
      </c>
      <c r="J174" s="4" t="str">
        <f t="shared" ca="1" si="4"/>
        <v xml:space="preserve"> </v>
      </c>
    </row>
    <row r="175" spans="1:10">
      <c r="A175" s="12"/>
      <c r="B175" s="13">
        <v>0</v>
      </c>
      <c r="C175" s="13">
        <v>0</v>
      </c>
      <c r="D175" s="13">
        <v>0</v>
      </c>
      <c r="E175" s="13">
        <v>0</v>
      </c>
      <c r="F175" s="19">
        <v>0</v>
      </c>
      <c r="G175" s="34">
        <f ca="1">IF(A175&lt;&gt;"",AVERAGE(E175:OFFSET(E175,-G$2+1,0)),0)</f>
        <v>0</v>
      </c>
      <c r="H175" s="16">
        <f ca="1">IF(A175&lt;&gt;"",AVERAGE(E175:OFFSET(E175,-H$2+1,0)),0)</f>
        <v>0</v>
      </c>
      <c r="I175" s="18">
        <f t="shared" ca="1" si="5"/>
        <v>0</v>
      </c>
      <c r="J175" s="4" t="str">
        <f t="shared" ca="1" si="4"/>
        <v xml:space="preserve"> </v>
      </c>
    </row>
    <row r="176" spans="1:10">
      <c r="A176" s="12"/>
      <c r="B176" s="13">
        <v>0</v>
      </c>
      <c r="C176" s="13">
        <v>0</v>
      </c>
      <c r="D176" s="13">
        <v>0</v>
      </c>
      <c r="E176" s="13">
        <v>0</v>
      </c>
      <c r="F176" s="19">
        <v>0</v>
      </c>
      <c r="G176" s="34">
        <f ca="1">IF(A176&lt;&gt;"",AVERAGE(E176:OFFSET(E176,-G$2+1,0)),0)</f>
        <v>0</v>
      </c>
      <c r="H176" s="16">
        <f ca="1">IF(A176&lt;&gt;"",AVERAGE(E176:OFFSET(E176,-H$2+1,0)),0)</f>
        <v>0</v>
      </c>
      <c r="I176" s="18">
        <f t="shared" ca="1" si="5"/>
        <v>0</v>
      </c>
      <c r="J176" s="4" t="str">
        <f t="shared" ca="1" si="4"/>
        <v xml:space="preserve"> </v>
      </c>
    </row>
    <row r="177" spans="1:10">
      <c r="A177" s="12"/>
      <c r="B177" s="13">
        <v>0</v>
      </c>
      <c r="C177" s="13">
        <v>0</v>
      </c>
      <c r="D177" s="13">
        <v>0</v>
      </c>
      <c r="E177" s="13">
        <v>0</v>
      </c>
      <c r="F177" s="19">
        <v>0</v>
      </c>
      <c r="G177" s="34">
        <f ca="1">IF(A177&lt;&gt;"",AVERAGE(E177:OFFSET(E177,-G$2+1,0)),0)</f>
        <v>0</v>
      </c>
      <c r="H177" s="16">
        <f ca="1">IF(A177&lt;&gt;"",AVERAGE(E177:OFFSET(E177,-H$2+1,0)),0)</f>
        <v>0</v>
      </c>
      <c r="I177" s="18">
        <f t="shared" ca="1" si="5"/>
        <v>0</v>
      </c>
      <c r="J177" s="4" t="str">
        <f t="shared" ca="1" si="4"/>
        <v xml:space="preserve"> </v>
      </c>
    </row>
    <row r="178" spans="1:10">
      <c r="A178" s="12"/>
      <c r="B178" s="13">
        <v>0</v>
      </c>
      <c r="C178" s="13">
        <v>0</v>
      </c>
      <c r="D178" s="13">
        <v>0</v>
      </c>
      <c r="E178" s="13">
        <v>0</v>
      </c>
      <c r="F178" s="19">
        <v>0</v>
      </c>
      <c r="G178" s="34">
        <f ca="1">IF(A178&lt;&gt;"",AVERAGE(E178:OFFSET(E178,-G$2+1,0)),0)</f>
        <v>0</v>
      </c>
      <c r="H178" s="16">
        <f ca="1">IF(A178&lt;&gt;"",AVERAGE(E178:OFFSET(E178,-H$2+1,0)),0)</f>
        <v>0</v>
      </c>
      <c r="I178" s="18">
        <f t="shared" ca="1" si="5"/>
        <v>0</v>
      </c>
      <c r="J178" s="4" t="str">
        <f t="shared" ca="1" si="4"/>
        <v xml:space="preserve"> </v>
      </c>
    </row>
    <row r="179" spans="1:10">
      <c r="A179" s="12"/>
      <c r="B179" s="13">
        <v>0</v>
      </c>
      <c r="C179" s="13">
        <v>0</v>
      </c>
      <c r="D179" s="13">
        <v>0</v>
      </c>
      <c r="E179" s="13">
        <v>0</v>
      </c>
      <c r="F179" s="19">
        <v>0</v>
      </c>
      <c r="G179" s="34">
        <f ca="1">IF(A179&lt;&gt;"",AVERAGE(E179:OFFSET(E179,-G$2+1,0)),0)</f>
        <v>0</v>
      </c>
      <c r="H179" s="16">
        <f ca="1">IF(A179&lt;&gt;"",AVERAGE(E179:OFFSET(E179,-H$2+1,0)),0)</f>
        <v>0</v>
      </c>
      <c r="I179" s="18">
        <f t="shared" ca="1" si="5"/>
        <v>0</v>
      </c>
      <c r="J179" s="4" t="str">
        <f t="shared" ca="1" si="4"/>
        <v xml:space="preserve"> </v>
      </c>
    </row>
    <row r="180" spans="1:10">
      <c r="A180" s="12"/>
      <c r="B180" s="13">
        <v>0</v>
      </c>
      <c r="C180" s="13">
        <v>0</v>
      </c>
      <c r="D180" s="13">
        <v>0</v>
      </c>
      <c r="E180" s="13">
        <v>0</v>
      </c>
      <c r="F180" s="19">
        <v>0</v>
      </c>
      <c r="G180" s="34">
        <f ca="1">IF(A180&lt;&gt;"",AVERAGE(E180:OFFSET(E180,-G$2+1,0)),0)</f>
        <v>0</v>
      </c>
      <c r="H180" s="16">
        <f ca="1">IF(A180&lt;&gt;"",AVERAGE(E180:OFFSET(E180,-H$2+1,0)),0)</f>
        <v>0</v>
      </c>
      <c r="I180" s="18">
        <f t="shared" ca="1" si="5"/>
        <v>0</v>
      </c>
      <c r="J180" s="4" t="str">
        <f t="shared" ca="1" si="4"/>
        <v xml:space="preserve"> </v>
      </c>
    </row>
    <row r="181" spans="1:10">
      <c r="A181" s="12"/>
      <c r="B181" s="13">
        <v>0</v>
      </c>
      <c r="C181" s="13">
        <v>0</v>
      </c>
      <c r="D181" s="13">
        <v>0</v>
      </c>
      <c r="E181" s="13">
        <v>0</v>
      </c>
      <c r="F181" s="19">
        <v>0</v>
      </c>
      <c r="G181" s="34">
        <f ca="1">IF(A181&lt;&gt;"",AVERAGE(E181:OFFSET(E181,-G$2+1,0)),0)</f>
        <v>0</v>
      </c>
      <c r="H181" s="16">
        <f ca="1">IF(A181&lt;&gt;"",AVERAGE(E181:OFFSET(E181,-H$2+1,0)),0)</f>
        <v>0</v>
      </c>
      <c r="I181" s="18">
        <f t="shared" ca="1" si="5"/>
        <v>0</v>
      </c>
      <c r="J181" s="4"/>
    </row>
    <row r="182" spans="1:10">
      <c r="A182" s="12"/>
      <c r="B182" s="13">
        <v>0</v>
      </c>
      <c r="C182" s="13">
        <v>0</v>
      </c>
      <c r="D182" s="13">
        <v>0</v>
      </c>
      <c r="E182" s="13">
        <v>0</v>
      </c>
      <c r="F182" s="19">
        <v>0</v>
      </c>
      <c r="G182" s="34">
        <f ca="1">IF(A182&lt;&gt;"",AVERAGE(E182:OFFSET(E182,-G$2+1,0)),0)</f>
        <v>0</v>
      </c>
      <c r="H182" s="16">
        <f ca="1">IF(A182&lt;&gt;"",AVERAGE(E182:OFFSET(E182,-H$2+1,0)),0)</f>
        <v>0</v>
      </c>
      <c r="I182" s="18">
        <f t="shared" ca="1" si="5"/>
        <v>0</v>
      </c>
      <c r="J182" s="4"/>
    </row>
    <row r="183" spans="1:10">
      <c r="A183" s="12"/>
      <c r="B183" s="13">
        <v>0</v>
      </c>
      <c r="C183" s="13">
        <v>0</v>
      </c>
      <c r="D183" s="13">
        <v>0</v>
      </c>
      <c r="E183" s="13">
        <v>0</v>
      </c>
      <c r="F183" s="19">
        <v>0</v>
      </c>
      <c r="G183" s="34">
        <f ca="1">IF(A183&lt;&gt;"",AVERAGE(E183:OFFSET(E183,-G$2+1,0)),0)</f>
        <v>0</v>
      </c>
      <c r="H183" s="16">
        <f ca="1">IF(A183&lt;&gt;"",AVERAGE(E183:OFFSET(E183,-H$2+1,0)),0)</f>
        <v>0</v>
      </c>
      <c r="I183" s="18">
        <f t="shared" ca="1" si="5"/>
        <v>0</v>
      </c>
      <c r="J183" s="4"/>
    </row>
    <row r="184" spans="1:10">
      <c r="A184" s="12"/>
      <c r="B184" s="13">
        <v>0</v>
      </c>
      <c r="C184" s="13">
        <v>0</v>
      </c>
      <c r="D184" s="13">
        <v>0</v>
      </c>
      <c r="E184" s="13">
        <v>0</v>
      </c>
      <c r="F184" s="19">
        <v>0</v>
      </c>
      <c r="G184" s="34">
        <f ca="1">IF(A184&lt;&gt;"",AVERAGE(E184:OFFSET(E184,-G$2+1,0)),0)</f>
        <v>0</v>
      </c>
      <c r="H184" s="16">
        <f ca="1">IF(A184&lt;&gt;"",AVERAGE(E184:OFFSET(E184,-H$2+1,0)),0)</f>
        <v>0</v>
      </c>
      <c r="I184" s="18">
        <f t="shared" ca="1" si="5"/>
        <v>0</v>
      </c>
      <c r="J184" s="4"/>
    </row>
    <row r="185" spans="1:10">
      <c r="A185" s="12"/>
      <c r="B185" s="13">
        <v>0</v>
      </c>
      <c r="C185" s="13">
        <v>0</v>
      </c>
      <c r="D185" s="13">
        <v>0</v>
      </c>
      <c r="E185" s="13">
        <v>0</v>
      </c>
      <c r="F185" s="19">
        <v>0</v>
      </c>
      <c r="G185" s="34">
        <f ca="1">IF(A185&lt;&gt;"",AVERAGE(E185:OFFSET(E185,-G$2+1,0)),0)</f>
        <v>0</v>
      </c>
      <c r="H185" s="16">
        <f ca="1">IF(A185&lt;&gt;"",AVERAGE(E185:OFFSET(E185,-H$2+1,0)),0)</f>
        <v>0</v>
      </c>
      <c r="I185" s="18">
        <f t="shared" ca="1" si="5"/>
        <v>0</v>
      </c>
      <c r="J185" s="4"/>
    </row>
    <row r="186" spans="1:10">
      <c r="A186" s="12"/>
      <c r="B186" s="13">
        <v>0</v>
      </c>
      <c r="C186" s="13">
        <v>0</v>
      </c>
      <c r="D186" s="13">
        <v>0</v>
      </c>
      <c r="E186" s="13">
        <v>0</v>
      </c>
      <c r="F186" s="19">
        <v>0</v>
      </c>
      <c r="G186" s="34">
        <f ca="1">IF(A186&lt;&gt;"",AVERAGE(E186:OFFSET(E186,-G$2+1,0)),0)</f>
        <v>0</v>
      </c>
      <c r="H186" s="16">
        <f ca="1">IF(A186&lt;&gt;"",AVERAGE(E186:OFFSET(E186,-H$2+1,0)),0)</f>
        <v>0</v>
      </c>
      <c r="I186" s="18">
        <f t="shared" ca="1" si="5"/>
        <v>0</v>
      </c>
      <c r="J186" s="4"/>
    </row>
    <row r="187" spans="1:10">
      <c r="A187" s="12"/>
      <c r="B187" s="13">
        <v>0</v>
      </c>
      <c r="C187" s="13">
        <v>0</v>
      </c>
      <c r="D187" s="13">
        <v>0</v>
      </c>
      <c r="E187" s="13">
        <v>0</v>
      </c>
      <c r="F187" s="19">
        <v>0</v>
      </c>
      <c r="G187" s="34">
        <f ca="1">IF(A187&lt;&gt;"",AVERAGE(E187:OFFSET(E187,-G$2+1,0)),0)</f>
        <v>0</v>
      </c>
      <c r="H187" s="16">
        <f ca="1">IF(A187&lt;&gt;"",AVERAGE(E187:OFFSET(E187,-H$2+1,0)),0)</f>
        <v>0</v>
      </c>
      <c r="I187" s="18">
        <f t="shared" ca="1" si="5"/>
        <v>0</v>
      </c>
      <c r="J187" s="4"/>
    </row>
    <row r="188" spans="1:10">
      <c r="A188" s="12"/>
      <c r="B188" s="13">
        <v>0</v>
      </c>
      <c r="C188" s="13">
        <v>0</v>
      </c>
      <c r="D188" s="13">
        <v>0</v>
      </c>
      <c r="E188" s="13">
        <v>0</v>
      </c>
      <c r="F188" s="19">
        <v>0</v>
      </c>
      <c r="G188" s="34">
        <f ca="1">IF(A188&lt;&gt;"",AVERAGE(E188:OFFSET(E188,-G$2+1,0)),0)</f>
        <v>0</v>
      </c>
      <c r="H188" s="16">
        <f ca="1">IF(A188&lt;&gt;"",AVERAGE(E188:OFFSET(E188,-H$2+1,0)),0)</f>
        <v>0</v>
      </c>
      <c r="I188" s="18">
        <f t="shared" ca="1" si="5"/>
        <v>0</v>
      </c>
      <c r="J188" s="4"/>
    </row>
    <row r="189" spans="1:10">
      <c r="A189" s="12"/>
      <c r="B189" s="13">
        <v>0</v>
      </c>
      <c r="C189" s="13">
        <v>0</v>
      </c>
      <c r="D189" s="13">
        <v>0</v>
      </c>
      <c r="E189" s="13">
        <v>0</v>
      </c>
      <c r="F189" s="19">
        <v>0</v>
      </c>
      <c r="G189" s="34">
        <f ca="1">IF(A189&lt;&gt;"",AVERAGE(E189:OFFSET(E189,-G$2+1,0)),0)</f>
        <v>0</v>
      </c>
      <c r="H189" s="16">
        <f ca="1">IF(A189&lt;&gt;"",AVERAGE(E189:OFFSET(E189,-H$2+1,0)),0)</f>
        <v>0</v>
      </c>
      <c r="I189" s="18">
        <f t="shared" ca="1" si="5"/>
        <v>0</v>
      </c>
      <c r="J189" s="4"/>
    </row>
    <row r="190" spans="1:10">
      <c r="A190" s="12"/>
      <c r="B190" s="13">
        <v>0</v>
      </c>
      <c r="C190" s="13">
        <v>0</v>
      </c>
      <c r="D190" s="13">
        <v>0</v>
      </c>
      <c r="E190" s="13">
        <v>0</v>
      </c>
      <c r="F190" s="19">
        <v>0</v>
      </c>
      <c r="G190" s="34">
        <f ca="1">IF(A190&lt;&gt;"",AVERAGE(E190:OFFSET(E190,-G$2+1,0)),0)</f>
        <v>0</v>
      </c>
      <c r="H190" s="16">
        <f ca="1">IF(A190&lt;&gt;"",AVERAGE(E190:OFFSET(E190,-H$2+1,0)),0)</f>
        <v>0</v>
      </c>
      <c r="I190" s="18">
        <f t="shared" ca="1" si="5"/>
        <v>0</v>
      </c>
      <c r="J190" s="4"/>
    </row>
    <row r="191" spans="1:10">
      <c r="A191" s="12"/>
      <c r="B191" s="13">
        <v>0</v>
      </c>
      <c r="C191" s="13">
        <v>0</v>
      </c>
      <c r="D191" s="13">
        <v>0</v>
      </c>
      <c r="E191" s="13">
        <v>0</v>
      </c>
      <c r="F191" s="19">
        <v>0</v>
      </c>
      <c r="G191" s="34">
        <f ca="1">IF(A191&lt;&gt;"",AVERAGE(E191:OFFSET(E191,-G$2+1,0)),0)</f>
        <v>0</v>
      </c>
      <c r="H191" s="16">
        <f ca="1">IF(A191&lt;&gt;"",AVERAGE(E191:OFFSET(E191,-H$2+1,0)),0)</f>
        <v>0</v>
      </c>
      <c r="I191" s="18">
        <f t="shared" ca="1" si="5"/>
        <v>0</v>
      </c>
      <c r="J191" s="4"/>
    </row>
    <row r="192" spans="1:10">
      <c r="A192" s="12"/>
      <c r="B192" s="13">
        <v>0</v>
      </c>
      <c r="C192" s="13">
        <v>0</v>
      </c>
      <c r="D192" s="13">
        <v>0</v>
      </c>
      <c r="E192" s="13">
        <v>0</v>
      </c>
      <c r="F192" s="19">
        <v>0</v>
      </c>
      <c r="G192" s="34">
        <f ca="1">IF(A192&lt;&gt;"",AVERAGE(E192:OFFSET(E192,-G$2+1,0)),0)</f>
        <v>0</v>
      </c>
      <c r="H192" s="16">
        <f ca="1">IF(A192&lt;&gt;"",AVERAGE(E192:OFFSET(E192,-H$2+1,0)),0)</f>
        <v>0</v>
      </c>
      <c r="I192" s="18">
        <f t="shared" ca="1" si="5"/>
        <v>0</v>
      </c>
      <c r="J192" s="4"/>
    </row>
    <row r="193" spans="1:10">
      <c r="A193" s="12"/>
      <c r="B193" s="13">
        <v>0</v>
      </c>
      <c r="C193" s="13">
        <v>0</v>
      </c>
      <c r="D193" s="13">
        <v>0</v>
      </c>
      <c r="E193" s="13">
        <v>0</v>
      </c>
      <c r="F193" s="19">
        <v>0</v>
      </c>
      <c r="G193" s="34">
        <f ca="1">IF(A193&lt;&gt;"",AVERAGE(E193:OFFSET(E193,-G$2+1,0)),0)</f>
        <v>0</v>
      </c>
      <c r="H193" s="16">
        <f ca="1">IF(A193&lt;&gt;"",AVERAGE(E193:OFFSET(E193,-H$2+1,0)),0)</f>
        <v>0</v>
      </c>
      <c r="I193" s="18">
        <f t="shared" ca="1" si="5"/>
        <v>0</v>
      </c>
      <c r="J193" s="4"/>
    </row>
    <row r="194" spans="1:10">
      <c r="A194" s="12"/>
      <c r="B194" s="13">
        <v>0</v>
      </c>
      <c r="C194" s="13">
        <v>0</v>
      </c>
      <c r="D194" s="13">
        <v>0</v>
      </c>
      <c r="E194" s="13">
        <v>0</v>
      </c>
      <c r="F194" s="19">
        <v>0</v>
      </c>
      <c r="G194" s="34">
        <f ca="1">IF(A194&lt;&gt;"",AVERAGE(E194:OFFSET(E194,-G$2+1,0)),0)</f>
        <v>0</v>
      </c>
      <c r="H194" s="16">
        <f ca="1">IF(A194&lt;&gt;"",AVERAGE(E194:OFFSET(E194,-H$2+1,0)),0)</f>
        <v>0</v>
      </c>
      <c r="I194" s="18">
        <f t="shared" ca="1" si="5"/>
        <v>0</v>
      </c>
      <c r="J194" s="4"/>
    </row>
    <row r="195" spans="1:10">
      <c r="A195" s="12"/>
      <c r="B195" s="13">
        <v>0</v>
      </c>
      <c r="C195" s="13">
        <v>0</v>
      </c>
      <c r="D195" s="13">
        <v>0</v>
      </c>
      <c r="E195" s="13">
        <v>0</v>
      </c>
      <c r="F195" s="19">
        <v>0</v>
      </c>
      <c r="G195" s="34">
        <f ca="1">IF(A195&lt;&gt;"",AVERAGE(E195:OFFSET(E195,-G$2+1,0)),0)</f>
        <v>0</v>
      </c>
      <c r="H195" s="16">
        <f ca="1">IF(A195&lt;&gt;"",AVERAGE(E195:OFFSET(E195,-H$2+1,0)),0)</f>
        <v>0</v>
      </c>
      <c r="I195" s="18">
        <f t="shared" ca="1" si="5"/>
        <v>0</v>
      </c>
      <c r="J195" s="4"/>
    </row>
    <row r="196" spans="1:10">
      <c r="A196" s="12"/>
      <c r="B196" s="13">
        <v>0</v>
      </c>
      <c r="C196" s="13">
        <v>0</v>
      </c>
      <c r="D196" s="13">
        <v>0</v>
      </c>
      <c r="E196" s="13">
        <v>0</v>
      </c>
      <c r="F196" s="19">
        <v>0</v>
      </c>
      <c r="G196" s="34">
        <f ca="1">IF(A196&lt;&gt;"",AVERAGE(E196:OFFSET(E196,-G$2+1,0)),0)</f>
        <v>0</v>
      </c>
      <c r="H196" s="16">
        <f ca="1">IF(A196&lt;&gt;"",AVERAGE(E196:OFFSET(E196,-H$2+1,0)),0)</f>
        <v>0</v>
      </c>
      <c r="I196" s="18">
        <f t="shared" ca="1" si="5"/>
        <v>0</v>
      </c>
      <c r="J196" s="4"/>
    </row>
    <row r="197" spans="1:10">
      <c r="A197" s="12"/>
      <c r="B197" s="13">
        <v>0</v>
      </c>
      <c r="C197" s="13">
        <v>0</v>
      </c>
      <c r="D197" s="13">
        <v>0</v>
      </c>
      <c r="E197" s="13">
        <v>0</v>
      </c>
      <c r="F197" s="19">
        <v>0</v>
      </c>
      <c r="G197" s="34">
        <f ca="1">IF(A197&lt;&gt;"",AVERAGE(E197:OFFSET(E197,-G$2+1,0)),0)</f>
        <v>0</v>
      </c>
      <c r="H197" s="16">
        <f ca="1">IF(A197&lt;&gt;"",AVERAGE(E197:OFFSET(E197,-H$2+1,0)),0)</f>
        <v>0</v>
      </c>
      <c r="I197" s="18">
        <f t="shared" ca="1" si="5"/>
        <v>0</v>
      </c>
      <c r="J197" s="4"/>
    </row>
    <row r="198" spans="1:10">
      <c r="A198" s="12"/>
      <c r="B198" s="13">
        <v>0</v>
      </c>
      <c r="C198" s="13">
        <v>0</v>
      </c>
      <c r="D198" s="13">
        <v>0</v>
      </c>
      <c r="E198" s="13">
        <v>0</v>
      </c>
      <c r="F198" s="19">
        <v>0</v>
      </c>
      <c r="G198" s="34">
        <f ca="1">IF(A198&lt;&gt;"",AVERAGE(E198:OFFSET(E198,-G$2+1,0)),0)</f>
        <v>0</v>
      </c>
      <c r="H198" s="16">
        <f ca="1">IF(A198&lt;&gt;"",AVERAGE(E198:OFFSET(E198,-H$2+1,0)),0)</f>
        <v>0</v>
      </c>
      <c r="I198" s="18">
        <f t="shared" ca="1" si="5"/>
        <v>0</v>
      </c>
      <c r="J198" s="4"/>
    </row>
    <row r="199" spans="1:10">
      <c r="A199" s="12"/>
      <c r="B199" s="13">
        <v>0</v>
      </c>
      <c r="C199" s="13">
        <v>0</v>
      </c>
      <c r="D199" s="13">
        <v>0</v>
      </c>
      <c r="E199" s="13">
        <v>0</v>
      </c>
      <c r="F199" s="19">
        <v>0</v>
      </c>
      <c r="G199" s="34">
        <f ca="1">IF(A199&lt;&gt;"",AVERAGE(E199:OFFSET(E199,-G$2+1,0)),0)</f>
        <v>0</v>
      </c>
      <c r="H199" s="16">
        <f ca="1">IF(A199&lt;&gt;"",AVERAGE(E199:OFFSET(E199,-H$2+1,0)),0)</f>
        <v>0</v>
      </c>
      <c r="I199" s="18">
        <f t="shared" ca="1" si="5"/>
        <v>0</v>
      </c>
      <c r="J199" s="4"/>
    </row>
    <row r="200" spans="1:10">
      <c r="A200" s="12"/>
      <c r="B200" s="13">
        <v>0</v>
      </c>
      <c r="C200" s="13">
        <v>0</v>
      </c>
      <c r="D200" s="13">
        <v>0</v>
      </c>
      <c r="E200" s="13">
        <v>0</v>
      </c>
      <c r="F200" s="19">
        <v>0</v>
      </c>
      <c r="G200" s="34">
        <f ca="1">IF(A200&lt;&gt;"",AVERAGE(E200:OFFSET(E200,-G$2+1,0)),0)</f>
        <v>0</v>
      </c>
      <c r="H200" s="16">
        <f ca="1">IF(A200&lt;&gt;"",AVERAGE(E200:OFFSET(E200,-H$2+1,0)),0)</f>
        <v>0</v>
      </c>
      <c r="I200" s="18">
        <f t="shared" ca="1" si="5"/>
        <v>0</v>
      </c>
      <c r="J200" s="4"/>
    </row>
    <row r="201" spans="1:10">
      <c r="A201" s="12"/>
      <c r="B201" s="13">
        <v>0</v>
      </c>
      <c r="C201" s="13">
        <v>0</v>
      </c>
      <c r="D201" s="13">
        <v>0</v>
      </c>
      <c r="E201" s="13">
        <v>0</v>
      </c>
      <c r="F201" s="19">
        <v>0</v>
      </c>
      <c r="G201" s="34">
        <f ca="1">IF(A201&lt;&gt;"",AVERAGE(E201:OFFSET(E201,-G$2+1,0)),0)</f>
        <v>0</v>
      </c>
      <c r="H201" s="16">
        <f ca="1">IF(A201&lt;&gt;"",AVERAGE(E201:OFFSET(E201,-H$2+1,0)),0)</f>
        <v>0</v>
      </c>
      <c r="I201" s="18">
        <f t="shared" ca="1" si="5"/>
        <v>0</v>
      </c>
      <c r="J201" s="4"/>
    </row>
    <row r="202" spans="1:10">
      <c r="A202" s="12"/>
      <c r="B202" s="13">
        <v>0</v>
      </c>
      <c r="C202" s="13">
        <v>0</v>
      </c>
      <c r="D202" s="13">
        <v>0</v>
      </c>
      <c r="E202" s="13">
        <v>0</v>
      </c>
      <c r="F202" s="19">
        <v>0</v>
      </c>
      <c r="G202" s="34">
        <f ca="1">IF(A202&lt;&gt;"",AVERAGE(E202:OFFSET(E202,-G$2+1,0)),0)</f>
        <v>0</v>
      </c>
      <c r="H202" s="16">
        <f ca="1">IF(A202&lt;&gt;"",AVERAGE(E202:OFFSET(E202,-H$2+1,0)),0)</f>
        <v>0</v>
      </c>
      <c r="I202" s="18">
        <f t="shared" ca="1" si="5"/>
        <v>0</v>
      </c>
      <c r="J202" s="4"/>
    </row>
    <row r="203" spans="1:10">
      <c r="A203" s="12"/>
      <c r="B203" s="13">
        <v>0</v>
      </c>
      <c r="C203" s="13">
        <v>0</v>
      </c>
      <c r="D203" s="13">
        <v>0</v>
      </c>
      <c r="E203" s="13">
        <v>0</v>
      </c>
      <c r="F203" s="19">
        <v>0</v>
      </c>
      <c r="G203" s="34">
        <f ca="1">IF(A203&lt;&gt;"",AVERAGE(E203:OFFSET(E203,-G$2+1,0)),0)</f>
        <v>0</v>
      </c>
      <c r="H203" s="16">
        <f ca="1">IF(A203&lt;&gt;"",AVERAGE(E203:OFFSET(E203,-H$2+1,0)),0)</f>
        <v>0</v>
      </c>
      <c r="I203" s="18">
        <f t="shared" ca="1" si="5"/>
        <v>0</v>
      </c>
      <c r="J203" s="4"/>
    </row>
    <row r="204" spans="1:10">
      <c r="A204" s="12"/>
      <c r="B204" s="13">
        <v>0</v>
      </c>
      <c r="C204" s="13">
        <v>0</v>
      </c>
      <c r="D204" s="13">
        <v>0</v>
      </c>
      <c r="E204" s="13">
        <v>0</v>
      </c>
      <c r="F204" s="19">
        <v>0</v>
      </c>
      <c r="G204" s="34">
        <f ca="1">IF(A204&lt;&gt;"",AVERAGE(E204:OFFSET(E204,-G$2+1,0)),0)</f>
        <v>0</v>
      </c>
      <c r="H204" s="16">
        <f ca="1">IF(A204&lt;&gt;"",AVERAGE(E204:OFFSET(E204,-H$2+1,0)),0)</f>
        <v>0</v>
      </c>
      <c r="I204" s="18">
        <f t="shared" ca="1" si="5"/>
        <v>0</v>
      </c>
      <c r="J204" s="4"/>
    </row>
    <row r="205" spans="1:10">
      <c r="A205" s="12"/>
      <c r="B205" s="13">
        <v>0</v>
      </c>
      <c r="C205" s="13">
        <v>0</v>
      </c>
      <c r="D205" s="13">
        <v>0</v>
      </c>
      <c r="E205" s="13">
        <v>0</v>
      </c>
      <c r="F205" s="19">
        <v>0</v>
      </c>
      <c r="G205" s="34">
        <f ca="1">IF(A205&lt;&gt;"",AVERAGE(E205:OFFSET(E205,-G$2+1,0)),0)</f>
        <v>0</v>
      </c>
      <c r="H205" s="16">
        <f ca="1">IF(A205&lt;&gt;"",AVERAGE(E205:OFFSET(E205,-H$2+1,0)),0)</f>
        <v>0</v>
      </c>
      <c r="I205" s="18">
        <f t="shared" ca="1" si="5"/>
        <v>0</v>
      </c>
      <c r="J205" s="4"/>
    </row>
    <row r="206" spans="1:10">
      <c r="A206" s="12"/>
      <c r="B206" s="13">
        <v>0</v>
      </c>
      <c r="C206" s="13">
        <v>0</v>
      </c>
      <c r="D206" s="13">
        <v>0</v>
      </c>
      <c r="E206" s="13">
        <v>0</v>
      </c>
      <c r="F206" s="19">
        <v>0</v>
      </c>
      <c r="G206" s="34">
        <f ca="1">IF(A206&lt;&gt;"",AVERAGE(E206:OFFSET(E206,-G$2+1,0)),0)</f>
        <v>0</v>
      </c>
      <c r="H206" s="16">
        <f ca="1">IF(A206&lt;&gt;"",AVERAGE(E206:OFFSET(E206,-H$2+1,0)),0)</f>
        <v>0</v>
      </c>
      <c r="I206" s="18">
        <f t="shared" ca="1" si="5"/>
        <v>0</v>
      </c>
      <c r="J206" s="4"/>
    </row>
    <row r="207" spans="1:10">
      <c r="A207" s="12"/>
      <c r="B207" s="13">
        <v>0</v>
      </c>
      <c r="C207" s="13">
        <v>0</v>
      </c>
      <c r="D207" s="13">
        <v>0</v>
      </c>
      <c r="E207" s="13">
        <v>0</v>
      </c>
      <c r="F207" s="19">
        <v>0</v>
      </c>
      <c r="G207" s="34">
        <f ca="1">IF(A207&lt;&gt;"",AVERAGE(E207:OFFSET(E207,-G$2+1,0)),0)</f>
        <v>0</v>
      </c>
      <c r="H207" s="16">
        <f ca="1">IF(A207&lt;&gt;"",AVERAGE(E207:OFFSET(E207,-H$2+1,0)),0)</f>
        <v>0</v>
      </c>
      <c r="I207" s="18">
        <f t="shared" ca="1" si="5"/>
        <v>0</v>
      </c>
      <c r="J207" s="4"/>
    </row>
    <row r="208" spans="1:10">
      <c r="A208" s="12"/>
      <c r="B208" s="13">
        <v>0</v>
      </c>
      <c r="C208" s="13">
        <v>0</v>
      </c>
      <c r="D208" s="13">
        <v>0</v>
      </c>
      <c r="E208" s="13">
        <v>0</v>
      </c>
      <c r="F208" s="19">
        <v>0</v>
      </c>
      <c r="G208" s="34">
        <f ca="1">IF(A208&lt;&gt;"",AVERAGE(E208:OFFSET(E208,-G$2+1,0)),0)</f>
        <v>0</v>
      </c>
      <c r="H208" s="16">
        <f ca="1">IF(A208&lt;&gt;"",AVERAGE(E208:OFFSET(E208,-H$2+1,0)),0)</f>
        <v>0</v>
      </c>
      <c r="I208" s="18">
        <f t="shared" ca="1" si="5"/>
        <v>0</v>
      </c>
      <c r="J208" s="4"/>
    </row>
    <row r="209" spans="1:10">
      <c r="A209" s="12"/>
      <c r="B209" s="13">
        <v>0</v>
      </c>
      <c r="C209" s="13">
        <v>0</v>
      </c>
      <c r="D209" s="13">
        <v>0</v>
      </c>
      <c r="E209" s="13">
        <v>0</v>
      </c>
      <c r="F209" s="19">
        <v>0</v>
      </c>
      <c r="G209" s="34">
        <f ca="1">IF(A209&lt;&gt;"",AVERAGE(E209:OFFSET(E209,-G$2+1,0)),0)</f>
        <v>0</v>
      </c>
      <c r="H209" s="16">
        <f ca="1">IF(A209&lt;&gt;"",AVERAGE(E209:OFFSET(E209,-H$2+1,0)),0)</f>
        <v>0</v>
      </c>
      <c r="I209" s="18">
        <f t="shared" ca="1" si="5"/>
        <v>0</v>
      </c>
      <c r="J209" s="4"/>
    </row>
    <row r="210" spans="1:10">
      <c r="A210" s="12"/>
      <c r="B210" s="13">
        <v>0</v>
      </c>
      <c r="C210" s="13">
        <v>0</v>
      </c>
      <c r="D210" s="13">
        <v>0</v>
      </c>
      <c r="E210" s="13">
        <v>0</v>
      </c>
      <c r="F210" s="19">
        <v>0</v>
      </c>
      <c r="G210" s="34">
        <f ca="1">IF(A210&lt;&gt;"",AVERAGE(E210:OFFSET(E210,-G$2+1,0)),0)</f>
        <v>0</v>
      </c>
      <c r="H210" s="16">
        <f ca="1">IF(A210&lt;&gt;"",AVERAGE(E210:OFFSET(E210,-H$2+1,0)),0)</f>
        <v>0</v>
      </c>
      <c r="I210" s="18">
        <f t="shared" ca="1" si="5"/>
        <v>0</v>
      </c>
      <c r="J210" s="4"/>
    </row>
    <row r="211" spans="1:10">
      <c r="A211" s="12"/>
      <c r="B211" s="13">
        <v>0</v>
      </c>
      <c r="C211" s="13">
        <v>0</v>
      </c>
      <c r="D211" s="13">
        <v>0</v>
      </c>
      <c r="E211" s="13">
        <v>0</v>
      </c>
      <c r="F211" s="19">
        <v>0</v>
      </c>
      <c r="G211" s="34">
        <f ca="1">IF(A211&lt;&gt;"",AVERAGE(E211:OFFSET(E211,-G$2+1,0)),0)</f>
        <v>0</v>
      </c>
      <c r="H211" s="16">
        <f ca="1">IF(A211&lt;&gt;"",AVERAGE(E211:OFFSET(E211,-H$2+1,0)),0)</f>
        <v>0</v>
      </c>
      <c r="I211" s="18">
        <f t="shared" ca="1" si="5"/>
        <v>0</v>
      </c>
      <c r="J211" s="4"/>
    </row>
    <row r="212" spans="1:10">
      <c r="A212" s="12"/>
      <c r="B212" s="13">
        <v>0</v>
      </c>
      <c r="C212" s="13">
        <v>0</v>
      </c>
      <c r="D212" s="13">
        <v>0</v>
      </c>
      <c r="E212" s="13">
        <v>0</v>
      </c>
      <c r="F212" s="19">
        <v>0</v>
      </c>
      <c r="G212" s="34">
        <f ca="1">IF(A212&lt;&gt;"",AVERAGE(E212:OFFSET(E212,-G$2+1,0)),0)</f>
        <v>0</v>
      </c>
      <c r="H212" s="16">
        <f ca="1">IF(A212&lt;&gt;"",AVERAGE(E212:OFFSET(E212,-H$2+1,0)),0)</f>
        <v>0</v>
      </c>
      <c r="I212" s="18">
        <f t="shared" ca="1" si="5"/>
        <v>0</v>
      </c>
      <c r="J212" s="4"/>
    </row>
    <row r="213" spans="1:10">
      <c r="A213" s="12"/>
      <c r="B213" s="13">
        <v>0</v>
      </c>
      <c r="C213" s="13">
        <v>0</v>
      </c>
      <c r="D213" s="13">
        <v>0</v>
      </c>
      <c r="E213" s="13">
        <v>0</v>
      </c>
      <c r="F213" s="19">
        <v>0</v>
      </c>
      <c r="G213" s="34">
        <f ca="1">IF(A213&lt;&gt;"",AVERAGE(E213:OFFSET(E213,-G$2+1,0)),0)</f>
        <v>0</v>
      </c>
      <c r="H213" s="16">
        <f ca="1">IF(A213&lt;&gt;"",AVERAGE(E213:OFFSET(E213,-H$2+1,0)),0)</f>
        <v>0</v>
      </c>
      <c r="I213" s="18">
        <f t="shared" ca="1" si="5"/>
        <v>0</v>
      </c>
      <c r="J213" s="4"/>
    </row>
    <row r="214" spans="1:10">
      <c r="A214" s="12"/>
      <c r="B214" s="13">
        <v>0</v>
      </c>
      <c r="C214" s="13">
        <v>0</v>
      </c>
      <c r="D214" s="13">
        <v>0</v>
      </c>
      <c r="E214" s="13">
        <v>0</v>
      </c>
      <c r="F214" s="19">
        <v>0</v>
      </c>
      <c r="G214" s="34">
        <f ca="1">IF(A214&lt;&gt;"",AVERAGE(E214:OFFSET(E214,-G$2+1,0)),0)</f>
        <v>0</v>
      </c>
      <c r="H214" s="16">
        <f ca="1">IF(A214&lt;&gt;"",AVERAGE(E214:OFFSET(E214,-H$2+1,0)),0)</f>
        <v>0</v>
      </c>
      <c r="I214" s="18">
        <f t="shared" ref="I214:I277" ca="1" si="6">IF(AND(G213&lt;=H213,G214&gt;H214),1,IF(AND(G213&gt;=H213,G214&lt;H214),-1,0))</f>
        <v>0</v>
      </c>
      <c r="J214" s="4"/>
    </row>
    <row r="215" spans="1:10">
      <c r="A215" s="12"/>
      <c r="B215" s="13">
        <v>0</v>
      </c>
      <c r="C215" s="13">
        <v>0</v>
      </c>
      <c r="D215" s="13">
        <v>0</v>
      </c>
      <c r="E215" s="13">
        <v>0</v>
      </c>
      <c r="F215" s="19">
        <v>0</v>
      </c>
      <c r="G215" s="34">
        <f ca="1">IF(A215&lt;&gt;"",AVERAGE(E215:OFFSET(E215,-G$2+1,0)),0)</f>
        <v>0</v>
      </c>
      <c r="H215" s="16">
        <f ca="1">IF(A215&lt;&gt;"",AVERAGE(E215:OFFSET(E215,-H$2+1,0)),0)</f>
        <v>0</v>
      </c>
      <c r="I215" s="18">
        <f t="shared" ca="1" si="6"/>
        <v>0</v>
      </c>
      <c r="J215" s="4"/>
    </row>
    <row r="216" spans="1:10">
      <c r="A216" s="12"/>
      <c r="B216" s="13">
        <v>0</v>
      </c>
      <c r="C216" s="13">
        <v>0</v>
      </c>
      <c r="D216" s="13">
        <v>0</v>
      </c>
      <c r="E216" s="13">
        <v>0</v>
      </c>
      <c r="F216" s="19">
        <v>0</v>
      </c>
      <c r="G216" s="34">
        <f ca="1">IF(A216&lt;&gt;"",AVERAGE(E216:OFFSET(E216,-G$2+1,0)),0)</f>
        <v>0</v>
      </c>
      <c r="H216" s="16">
        <f ca="1">IF(A216&lt;&gt;"",AVERAGE(E216:OFFSET(E216,-H$2+1,0)),0)</f>
        <v>0</v>
      </c>
      <c r="I216" s="18">
        <f t="shared" ca="1" si="6"/>
        <v>0</v>
      </c>
      <c r="J216" s="4"/>
    </row>
    <row r="217" spans="1:10">
      <c r="A217" s="12"/>
      <c r="B217" s="13">
        <v>0</v>
      </c>
      <c r="C217" s="13">
        <v>0</v>
      </c>
      <c r="D217" s="13">
        <v>0</v>
      </c>
      <c r="E217" s="13">
        <v>0</v>
      </c>
      <c r="F217" s="19">
        <v>0</v>
      </c>
      <c r="G217" s="34">
        <f ca="1">IF(A217&lt;&gt;"",AVERAGE(E217:OFFSET(E217,-G$2+1,0)),0)</f>
        <v>0</v>
      </c>
      <c r="H217" s="16">
        <f ca="1">IF(A217&lt;&gt;"",AVERAGE(E217:OFFSET(E217,-H$2+1,0)),0)</f>
        <v>0</v>
      </c>
      <c r="I217" s="18">
        <f t="shared" ca="1" si="6"/>
        <v>0</v>
      </c>
      <c r="J217" s="4"/>
    </row>
    <row r="218" spans="1:10">
      <c r="A218" s="12"/>
      <c r="B218" s="13">
        <v>0</v>
      </c>
      <c r="C218" s="13">
        <v>0</v>
      </c>
      <c r="D218" s="13">
        <v>0</v>
      </c>
      <c r="E218" s="13">
        <v>0</v>
      </c>
      <c r="F218" s="19">
        <v>0</v>
      </c>
      <c r="G218" s="34">
        <f ca="1">IF(A218&lt;&gt;"",AVERAGE(E218:OFFSET(E218,-G$2+1,0)),0)</f>
        <v>0</v>
      </c>
      <c r="H218" s="16">
        <f ca="1">IF(A218&lt;&gt;"",AVERAGE(E218:OFFSET(E218,-H$2+1,0)),0)</f>
        <v>0</v>
      </c>
      <c r="I218" s="18">
        <f t="shared" ca="1" si="6"/>
        <v>0</v>
      </c>
      <c r="J218" s="4"/>
    </row>
    <row r="219" spans="1:10">
      <c r="A219" s="12"/>
      <c r="B219" s="13">
        <v>0</v>
      </c>
      <c r="C219" s="13">
        <v>0</v>
      </c>
      <c r="D219" s="13">
        <v>0</v>
      </c>
      <c r="E219" s="13">
        <v>0</v>
      </c>
      <c r="F219" s="19">
        <v>0</v>
      </c>
      <c r="G219" s="34">
        <f ca="1">IF(A219&lt;&gt;"",AVERAGE(E219:OFFSET(E219,-G$2+1,0)),0)</f>
        <v>0</v>
      </c>
      <c r="H219" s="16">
        <f ca="1">IF(A219&lt;&gt;"",AVERAGE(E219:OFFSET(E219,-H$2+1,0)),0)</f>
        <v>0</v>
      </c>
      <c r="I219" s="18">
        <f t="shared" ca="1" si="6"/>
        <v>0</v>
      </c>
      <c r="J219" s="4"/>
    </row>
    <row r="220" spans="1:10">
      <c r="A220" s="12"/>
      <c r="B220" s="13">
        <v>0</v>
      </c>
      <c r="C220" s="13">
        <v>0</v>
      </c>
      <c r="D220" s="13">
        <v>0</v>
      </c>
      <c r="E220" s="13">
        <v>0</v>
      </c>
      <c r="F220" s="19">
        <v>0</v>
      </c>
      <c r="G220" s="34">
        <f ca="1">IF(A220&lt;&gt;"",AVERAGE(E220:OFFSET(E220,-G$2+1,0)),0)</f>
        <v>0</v>
      </c>
      <c r="H220" s="16">
        <f ca="1">IF(A220&lt;&gt;"",AVERAGE(E220:OFFSET(E220,-H$2+1,0)),0)</f>
        <v>0</v>
      </c>
      <c r="I220" s="18">
        <f t="shared" ca="1" si="6"/>
        <v>0</v>
      </c>
      <c r="J220" s="4"/>
    </row>
    <row r="221" spans="1:10">
      <c r="A221" s="12"/>
      <c r="B221" s="13">
        <v>0</v>
      </c>
      <c r="C221" s="13">
        <v>0</v>
      </c>
      <c r="D221" s="13">
        <v>0</v>
      </c>
      <c r="E221" s="13">
        <v>0</v>
      </c>
      <c r="F221" s="19">
        <v>0</v>
      </c>
      <c r="G221" s="34">
        <f ca="1">IF(A221&lt;&gt;"",AVERAGE(E221:OFFSET(E221,-G$2+1,0)),0)</f>
        <v>0</v>
      </c>
      <c r="H221" s="16">
        <f ca="1">IF(A221&lt;&gt;"",AVERAGE(E221:OFFSET(E221,-H$2+1,0)),0)</f>
        <v>0</v>
      </c>
      <c r="I221" s="18">
        <f t="shared" ca="1" si="6"/>
        <v>0</v>
      </c>
      <c r="J221" s="4"/>
    </row>
    <row r="222" spans="1:10">
      <c r="A222" s="12"/>
      <c r="B222" s="13">
        <v>0</v>
      </c>
      <c r="C222" s="13">
        <v>0</v>
      </c>
      <c r="D222" s="13">
        <v>0</v>
      </c>
      <c r="E222" s="13">
        <v>0</v>
      </c>
      <c r="F222" s="19">
        <v>0</v>
      </c>
      <c r="G222" s="34">
        <f ca="1">IF(A222&lt;&gt;"",AVERAGE(E222:OFFSET(E222,-G$2+1,0)),0)</f>
        <v>0</v>
      </c>
      <c r="H222" s="16">
        <f ca="1">IF(A222&lt;&gt;"",AVERAGE(E222:OFFSET(E222,-H$2+1,0)),0)</f>
        <v>0</v>
      </c>
      <c r="I222" s="18">
        <f t="shared" ca="1" si="6"/>
        <v>0</v>
      </c>
      <c r="J222" s="4"/>
    </row>
    <row r="223" spans="1:10">
      <c r="A223" s="12"/>
      <c r="B223" s="13">
        <v>0</v>
      </c>
      <c r="C223" s="13">
        <v>0</v>
      </c>
      <c r="D223" s="13">
        <v>0</v>
      </c>
      <c r="E223" s="13">
        <v>0</v>
      </c>
      <c r="F223" s="19">
        <v>0</v>
      </c>
      <c r="G223" s="34">
        <f ca="1">IF(A223&lt;&gt;"",AVERAGE(E223:OFFSET(E223,-G$2+1,0)),0)</f>
        <v>0</v>
      </c>
      <c r="H223" s="16">
        <f ca="1">IF(A223&lt;&gt;"",AVERAGE(E223:OFFSET(E223,-H$2+1,0)),0)</f>
        <v>0</v>
      </c>
      <c r="I223" s="18">
        <f t="shared" ca="1" si="6"/>
        <v>0</v>
      </c>
      <c r="J223" s="4"/>
    </row>
    <row r="224" spans="1:10">
      <c r="A224" s="12"/>
      <c r="B224" s="13">
        <v>0</v>
      </c>
      <c r="C224" s="13">
        <v>0</v>
      </c>
      <c r="D224" s="13">
        <v>0</v>
      </c>
      <c r="E224" s="13">
        <v>0</v>
      </c>
      <c r="F224" s="19">
        <v>0</v>
      </c>
      <c r="G224" s="34">
        <f ca="1">IF(A224&lt;&gt;"",AVERAGE(E224:OFFSET(E224,-G$2+1,0)),0)</f>
        <v>0</v>
      </c>
      <c r="H224" s="16">
        <f ca="1">IF(A224&lt;&gt;"",AVERAGE(E224:OFFSET(E224,-H$2+1,0)),0)</f>
        <v>0</v>
      </c>
      <c r="I224" s="18">
        <f t="shared" ca="1" si="6"/>
        <v>0</v>
      </c>
      <c r="J224" s="4"/>
    </row>
    <row r="225" spans="1:10">
      <c r="A225" s="12"/>
      <c r="B225" s="13">
        <v>0</v>
      </c>
      <c r="C225" s="13">
        <v>0</v>
      </c>
      <c r="D225" s="13">
        <v>0</v>
      </c>
      <c r="E225" s="13">
        <v>0</v>
      </c>
      <c r="F225" s="19">
        <v>0</v>
      </c>
      <c r="G225" s="34">
        <f ca="1">IF(A225&lt;&gt;"",AVERAGE(E225:OFFSET(E225,-G$2+1,0)),0)</f>
        <v>0</v>
      </c>
      <c r="H225" s="16">
        <f ca="1">IF(A225&lt;&gt;"",AVERAGE(E225:OFFSET(E225,-H$2+1,0)),0)</f>
        <v>0</v>
      </c>
      <c r="I225" s="18">
        <f t="shared" ca="1" si="6"/>
        <v>0</v>
      </c>
      <c r="J225" s="4"/>
    </row>
    <row r="226" spans="1:10">
      <c r="A226" s="12"/>
      <c r="B226" s="13">
        <v>0</v>
      </c>
      <c r="C226" s="13">
        <v>0</v>
      </c>
      <c r="D226" s="13">
        <v>0</v>
      </c>
      <c r="E226" s="13">
        <v>0</v>
      </c>
      <c r="F226" s="19">
        <v>0</v>
      </c>
      <c r="G226" s="34">
        <f ca="1">IF(A226&lt;&gt;"",AVERAGE(E226:OFFSET(E226,-G$2+1,0)),0)</f>
        <v>0</v>
      </c>
      <c r="H226" s="16">
        <f ca="1">IF(A226&lt;&gt;"",AVERAGE(E226:OFFSET(E226,-H$2+1,0)),0)</f>
        <v>0</v>
      </c>
      <c r="I226" s="18">
        <f t="shared" ca="1" si="6"/>
        <v>0</v>
      </c>
      <c r="J226" s="4"/>
    </row>
    <row r="227" spans="1:10">
      <c r="A227" s="12"/>
      <c r="B227" s="13">
        <v>0</v>
      </c>
      <c r="C227" s="13">
        <v>0</v>
      </c>
      <c r="D227" s="13">
        <v>0</v>
      </c>
      <c r="E227" s="13">
        <v>0</v>
      </c>
      <c r="F227" s="19">
        <v>0</v>
      </c>
      <c r="G227" s="34">
        <f ca="1">IF(A227&lt;&gt;"",AVERAGE(E227:OFFSET(E227,-G$2+1,0)),0)</f>
        <v>0</v>
      </c>
      <c r="H227" s="16">
        <f ca="1">IF(A227&lt;&gt;"",AVERAGE(E227:OFFSET(E227,-H$2+1,0)),0)</f>
        <v>0</v>
      </c>
      <c r="I227" s="18">
        <f t="shared" ca="1" si="6"/>
        <v>0</v>
      </c>
      <c r="J227" s="4"/>
    </row>
    <row r="228" spans="1:10">
      <c r="A228" s="12"/>
      <c r="B228" s="13">
        <v>0</v>
      </c>
      <c r="C228" s="13">
        <v>0</v>
      </c>
      <c r="D228" s="13">
        <v>0</v>
      </c>
      <c r="E228" s="13">
        <v>0</v>
      </c>
      <c r="F228" s="19">
        <v>0</v>
      </c>
      <c r="G228" s="34">
        <f ca="1">IF(A228&lt;&gt;"",AVERAGE(E228:OFFSET(E228,-G$2+1,0)),0)</f>
        <v>0</v>
      </c>
      <c r="H228" s="16">
        <f ca="1">IF(A228&lt;&gt;"",AVERAGE(E228:OFFSET(E228,-H$2+1,0)),0)</f>
        <v>0</v>
      </c>
      <c r="I228" s="18">
        <f t="shared" ca="1" si="6"/>
        <v>0</v>
      </c>
      <c r="J228" s="4"/>
    </row>
    <row r="229" spans="1:10">
      <c r="A229" s="12"/>
      <c r="B229" s="13">
        <v>0</v>
      </c>
      <c r="C229" s="13">
        <v>0</v>
      </c>
      <c r="D229" s="13">
        <v>0</v>
      </c>
      <c r="E229" s="13">
        <v>0</v>
      </c>
      <c r="F229" s="19">
        <v>0</v>
      </c>
      <c r="G229" s="34">
        <f ca="1">IF(A229&lt;&gt;"",AVERAGE(E229:OFFSET(E229,-G$2+1,0)),0)</f>
        <v>0</v>
      </c>
      <c r="H229" s="16">
        <f ca="1">IF(A229&lt;&gt;"",AVERAGE(E229:OFFSET(E229,-H$2+1,0)),0)</f>
        <v>0</v>
      </c>
      <c r="I229" s="18">
        <f t="shared" ca="1" si="6"/>
        <v>0</v>
      </c>
      <c r="J229" s="4"/>
    </row>
    <row r="230" spans="1:10">
      <c r="A230" s="12"/>
      <c r="B230" s="13">
        <v>0</v>
      </c>
      <c r="C230" s="13">
        <v>0</v>
      </c>
      <c r="D230" s="13">
        <v>0</v>
      </c>
      <c r="E230" s="13">
        <v>0</v>
      </c>
      <c r="F230" s="19">
        <v>0</v>
      </c>
      <c r="G230" s="34">
        <f ca="1">IF(A230&lt;&gt;"",AVERAGE(E230:OFFSET(E230,-G$2+1,0)),0)</f>
        <v>0</v>
      </c>
      <c r="H230" s="16">
        <f ca="1">IF(A230&lt;&gt;"",AVERAGE(E230:OFFSET(E230,-H$2+1,0)),0)</f>
        <v>0</v>
      </c>
      <c r="I230" s="18">
        <f t="shared" ca="1" si="6"/>
        <v>0</v>
      </c>
      <c r="J230" s="4"/>
    </row>
    <row r="231" spans="1:10">
      <c r="A231" s="12"/>
      <c r="B231" s="13">
        <v>0</v>
      </c>
      <c r="C231" s="13">
        <v>0</v>
      </c>
      <c r="D231" s="13">
        <v>0</v>
      </c>
      <c r="E231" s="13">
        <v>0</v>
      </c>
      <c r="F231" s="19">
        <v>0</v>
      </c>
      <c r="G231" s="34">
        <f ca="1">IF(A231&lt;&gt;"",AVERAGE(E231:OFFSET(E231,-G$2+1,0)),0)</f>
        <v>0</v>
      </c>
      <c r="H231" s="16">
        <f ca="1">IF(A231&lt;&gt;"",AVERAGE(E231:OFFSET(E231,-H$2+1,0)),0)</f>
        <v>0</v>
      </c>
      <c r="I231" s="18">
        <f t="shared" ca="1" si="6"/>
        <v>0</v>
      </c>
      <c r="J231" s="4"/>
    </row>
    <row r="232" spans="1:10">
      <c r="A232" s="12"/>
      <c r="B232" s="13">
        <v>0</v>
      </c>
      <c r="C232" s="13">
        <v>0</v>
      </c>
      <c r="D232" s="13">
        <v>0</v>
      </c>
      <c r="E232" s="13">
        <v>0</v>
      </c>
      <c r="F232" s="19">
        <v>0</v>
      </c>
      <c r="G232" s="34">
        <f ca="1">IF(A232&lt;&gt;"",AVERAGE(E232:OFFSET(E232,-G$2+1,0)),0)</f>
        <v>0</v>
      </c>
      <c r="H232" s="16">
        <f ca="1">IF(A232&lt;&gt;"",AVERAGE(E232:OFFSET(E232,-H$2+1,0)),0)</f>
        <v>0</v>
      </c>
      <c r="I232" s="18">
        <f t="shared" ca="1" si="6"/>
        <v>0</v>
      </c>
      <c r="J232" s="4"/>
    </row>
    <row r="233" spans="1:10">
      <c r="A233" s="12"/>
      <c r="B233" s="13">
        <v>0</v>
      </c>
      <c r="C233" s="13">
        <v>0</v>
      </c>
      <c r="D233" s="13">
        <v>0</v>
      </c>
      <c r="E233" s="13">
        <v>0</v>
      </c>
      <c r="F233" s="19">
        <v>0</v>
      </c>
      <c r="G233" s="34">
        <f ca="1">IF(A233&lt;&gt;"",AVERAGE(E233:OFFSET(E233,-G$2+1,0)),0)</f>
        <v>0</v>
      </c>
      <c r="H233" s="16">
        <f ca="1">IF(A233&lt;&gt;"",AVERAGE(E233:OFFSET(E233,-H$2+1,0)),0)</f>
        <v>0</v>
      </c>
      <c r="I233" s="18">
        <f t="shared" ca="1" si="6"/>
        <v>0</v>
      </c>
      <c r="J233" s="4"/>
    </row>
    <row r="234" spans="1:10">
      <c r="A234" s="12"/>
      <c r="B234" s="13">
        <v>0</v>
      </c>
      <c r="C234" s="13">
        <v>0</v>
      </c>
      <c r="D234" s="13">
        <v>0</v>
      </c>
      <c r="E234" s="13">
        <v>0</v>
      </c>
      <c r="F234" s="19">
        <v>0</v>
      </c>
      <c r="G234" s="34">
        <f ca="1">IF(A234&lt;&gt;"",AVERAGE(E234:OFFSET(E234,-G$2+1,0)),0)</f>
        <v>0</v>
      </c>
      <c r="H234" s="16">
        <f ca="1">IF(A234&lt;&gt;"",AVERAGE(E234:OFFSET(E234,-H$2+1,0)),0)</f>
        <v>0</v>
      </c>
      <c r="I234" s="18">
        <f t="shared" ca="1" si="6"/>
        <v>0</v>
      </c>
      <c r="J234" s="4"/>
    </row>
    <row r="235" spans="1:10">
      <c r="A235" s="12"/>
      <c r="B235" s="13">
        <v>0</v>
      </c>
      <c r="C235" s="13">
        <v>0</v>
      </c>
      <c r="D235" s="13">
        <v>0</v>
      </c>
      <c r="E235" s="13">
        <v>0</v>
      </c>
      <c r="F235" s="19">
        <v>0</v>
      </c>
      <c r="G235" s="34">
        <f ca="1">IF(A235&lt;&gt;"",AVERAGE(E235:OFFSET(E235,-G$2+1,0)),0)</f>
        <v>0</v>
      </c>
      <c r="H235" s="16">
        <f ca="1">IF(A235&lt;&gt;"",AVERAGE(E235:OFFSET(E235,-H$2+1,0)),0)</f>
        <v>0</v>
      </c>
      <c r="I235" s="18">
        <f t="shared" ca="1" si="6"/>
        <v>0</v>
      </c>
      <c r="J235" s="4"/>
    </row>
    <row r="236" spans="1:10">
      <c r="A236" s="12"/>
      <c r="B236" s="13">
        <v>0</v>
      </c>
      <c r="C236" s="13">
        <v>0</v>
      </c>
      <c r="D236" s="13">
        <v>0</v>
      </c>
      <c r="E236" s="13">
        <v>0</v>
      </c>
      <c r="F236" s="19">
        <v>0</v>
      </c>
      <c r="G236" s="34">
        <f ca="1">IF(A236&lt;&gt;"",AVERAGE(E236:OFFSET(E236,-G$2+1,0)),0)</f>
        <v>0</v>
      </c>
      <c r="H236" s="16">
        <f ca="1">IF(A236&lt;&gt;"",AVERAGE(E236:OFFSET(E236,-H$2+1,0)),0)</f>
        <v>0</v>
      </c>
      <c r="I236" s="18">
        <f t="shared" ca="1" si="6"/>
        <v>0</v>
      </c>
      <c r="J236" s="4"/>
    </row>
    <row r="237" spans="1:10">
      <c r="A237" s="12"/>
      <c r="B237" s="13">
        <v>0</v>
      </c>
      <c r="C237" s="13">
        <v>0</v>
      </c>
      <c r="D237" s="13">
        <v>0</v>
      </c>
      <c r="E237" s="13">
        <v>0</v>
      </c>
      <c r="F237" s="19">
        <v>0</v>
      </c>
      <c r="G237" s="34">
        <f ca="1">IF(A237&lt;&gt;"",AVERAGE(E237:OFFSET(E237,-G$2+1,0)),0)</f>
        <v>0</v>
      </c>
      <c r="H237" s="16">
        <f ca="1">IF(A237&lt;&gt;"",AVERAGE(E237:OFFSET(E237,-H$2+1,0)),0)</f>
        <v>0</v>
      </c>
      <c r="I237" s="18">
        <f t="shared" ca="1" si="6"/>
        <v>0</v>
      </c>
      <c r="J237" s="4"/>
    </row>
    <row r="238" spans="1:10">
      <c r="A238" s="12"/>
      <c r="B238" s="13">
        <v>0</v>
      </c>
      <c r="C238" s="13">
        <v>0</v>
      </c>
      <c r="D238" s="13">
        <v>0</v>
      </c>
      <c r="E238" s="13">
        <v>0</v>
      </c>
      <c r="F238" s="19">
        <v>0</v>
      </c>
      <c r="G238" s="34">
        <f ca="1">IF(A238&lt;&gt;"",AVERAGE(E238:OFFSET(E238,-G$2+1,0)),0)</f>
        <v>0</v>
      </c>
      <c r="H238" s="16">
        <f ca="1">IF(A238&lt;&gt;"",AVERAGE(E238:OFFSET(E238,-H$2+1,0)),0)</f>
        <v>0</v>
      </c>
      <c r="I238" s="18">
        <f t="shared" ca="1" si="6"/>
        <v>0</v>
      </c>
      <c r="J238" s="4"/>
    </row>
    <row r="239" spans="1:10">
      <c r="A239" s="12"/>
      <c r="B239" s="13">
        <v>0</v>
      </c>
      <c r="C239" s="13">
        <v>0</v>
      </c>
      <c r="D239" s="13">
        <v>0</v>
      </c>
      <c r="E239" s="13">
        <v>0</v>
      </c>
      <c r="F239" s="19">
        <v>0</v>
      </c>
      <c r="G239" s="34">
        <f ca="1">IF(A239&lt;&gt;"",AVERAGE(E239:OFFSET(E239,-G$2+1,0)),0)</f>
        <v>0</v>
      </c>
      <c r="H239" s="16">
        <f ca="1">IF(A239&lt;&gt;"",AVERAGE(E239:OFFSET(E239,-H$2+1,0)),0)</f>
        <v>0</v>
      </c>
      <c r="I239" s="18">
        <f t="shared" ca="1" si="6"/>
        <v>0</v>
      </c>
      <c r="J239" s="4"/>
    </row>
    <row r="240" spans="1:10">
      <c r="A240" s="12"/>
      <c r="B240" s="13">
        <v>0</v>
      </c>
      <c r="C240" s="13">
        <v>0</v>
      </c>
      <c r="D240" s="13">
        <v>0</v>
      </c>
      <c r="E240" s="13">
        <v>0</v>
      </c>
      <c r="F240" s="19">
        <v>0</v>
      </c>
      <c r="G240" s="34">
        <f ca="1">IF(A240&lt;&gt;"",AVERAGE(E240:OFFSET(E240,-G$2+1,0)),0)</f>
        <v>0</v>
      </c>
      <c r="H240" s="16">
        <f ca="1">IF(A240&lt;&gt;"",AVERAGE(E240:OFFSET(E240,-H$2+1,0)),0)</f>
        <v>0</v>
      </c>
      <c r="I240" s="18">
        <f t="shared" ca="1" si="6"/>
        <v>0</v>
      </c>
      <c r="J240" s="4"/>
    </row>
    <row r="241" spans="1:10">
      <c r="A241" s="12"/>
      <c r="B241" s="13">
        <v>0</v>
      </c>
      <c r="C241" s="13">
        <v>0</v>
      </c>
      <c r="D241" s="13">
        <v>0</v>
      </c>
      <c r="E241" s="13">
        <v>0</v>
      </c>
      <c r="F241" s="19">
        <v>0</v>
      </c>
      <c r="G241" s="34">
        <f ca="1">IF(A241&lt;&gt;"",AVERAGE(E241:OFFSET(E241,-G$2+1,0)),0)</f>
        <v>0</v>
      </c>
      <c r="H241" s="16">
        <f ca="1">IF(A241&lt;&gt;"",AVERAGE(E241:OFFSET(E241,-H$2+1,0)),0)</f>
        <v>0</v>
      </c>
      <c r="I241" s="18">
        <f t="shared" ca="1" si="6"/>
        <v>0</v>
      </c>
      <c r="J241" s="4"/>
    </row>
    <row r="242" spans="1:10">
      <c r="A242" s="12"/>
      <c r="B242" s="13">
        <v>0</v>
      </c>
      <c r="C242" s="13">
        <v>0</v>
      </c>
      <c r="D242" s="13">
        <v>0</v>
      </c>
      <c r="E242" s="13">
        <v>0</v>
      </c>
      <c r="F242" s="19">
        <v>0</v>
      </c>
      <c r="G242" s="34">
        <f ca="1">IF(A242&lt;&gt;"",AVERAGE(E242:OFFSET(E242,-G$2+1,0)),0)</f>
        <v>0</v>
      </c>
      <c r="H242" s="16">
        <f ca="1">IF(A242&lt;&gt;"",AVERAGE(E242:OFFSET(E242,-H$2+1,0)),0)</f>
        <v>0</v>
      </c>
      <c r="I242" s="18">
        <f t="shared" ca="1" si="6"/>
        <v>0</v>
      </c>
      <c r="J242" s="4"/>
    </row>
    <row r="243" spans="1:10">
      <c r="A243" s="12"/>
      <c r="B243" s="13">
        <v>0</v>
      </c>
      <c r="C243" s="13">
        <v>0</v>
      </c>
      <c r="D243" s="13">
        <v>0</v>
      </c>
      <c r="E243" s="13">
        <v>0</v>
      </c>
      <c r="F243" s="19">
        <v>0</v>
      </c>
      <c r="G243" s="34">
        <f ca="1">IF(A243&lt;&gt;"",AVERAGE(E243:OFFSET(E243,-G$2+1,0)),0)</f>
        <v>0</v>
      </c>
      <c r="H243" s="16">
        <f ca="1">IF(A243&lt;&gt;"",AVERAGE(E243:OFFSET(E243,-H$2+1,0)),0)</f>
        <v>0</v>
      </c>
      <c r="I243" s="18">
        <f t="shared" ca="1" si="6"/>
        <v>0</v>
      </c>
      <c r="J243" s="4"/>
    </row>
    <row r="244" spans="1:10">
      <c r="A244" s="12"/>
      <c r="B244" s="13">
        <v>0</v>
      </c>
      <c r="C244" s="13">
        <v>0</v>
      </c>
      <c r="D244" s="13">
        <v>0</v>
      </c>
      <c r="E244" s="13">
        <v>0</v>
      </c>
      <c r="F244" s="19">
        <v>0</v>
      </c>
      <c r="G244" s="34">
        <f ca="1">IF(A244&lt;&gt;"",AVERAGE(E244:OFFSET(E244,-G$2+1,0)),0)</f>
        <v>0</v>
      </c>
      <c r="H244" s="16">
        <f ca="1">IF(A244&lt;&gt;"",AVERAGE(E244:OFFSET(E244,-H$2+1,0)),0)</f>
        <v>0</v>
      </c>
      <c r="I244" s="18">
        <f t="shared" ca="1" si="6"/>
        <v>0</v>
      </c>
      <c r="J244" s="4"/>
    </row>
    <row r="245" spans="1:10">
      <c r="A245" s="12"/>
      <c r="B245" s="13">
        <v>0</v>
      </c>
      <c r="C245" s="13">
        <v>0</v>
      </c>
      <c r="D245" s="13">
        <v>0</v>
      </c>
      <c r="E245" s="13">
        <v>0</v>
      </c>
      <c r="F245" s="19">
        <v>0</v>
      </c>
      <c r="G245" s="34">
        <f ca="1">IF(A245&lt;&gt;"",AVERAGE(E245:OFFSET(E245,-G$2+1,0)),0)</f>
        <v>0</v>
      </c>
      <c r="H245" s="16">
        <f ca="1">IF(A245&lt;&gt;"",AVERAGE(E245:OFFSET(E245,-H$2+1,0)),0)</f>
        <v>0</v>
      </c>
      <c r="I245" s="18">
        <f t="shared" ca="1" si="6"/>
        <v>0</v>
      </c>
      <c r="J245" s="4"/>
    </row>
    <row r="246" spans="1:10">
      <c r="A246" s="12"/>
      <c r="B246" s="13">
        <v>0</v>
      </c>
      <c r="C246" s="13">
        <v>0</v>
      </c>
      <c r="D246" s="13">
        <v>0</v>
      </c>
      <c r="E246" s="13">
        <v>0</v>
      </c>
      <c r="F246" s="19">
        <v>0</v>
      </c>
      <c r="G246" s="34">
        <f ca="1">IF(A246&lt;&gt;"",AVERAGE(E246:OFFSET(E246,-G$2+1,0)),0)</f>
        <v>0</v>
      </c>
      <c r="H246" s="16">
        <f ca="1">IF(A246&lt;&gt;"",AVERAGE(E246:OFFSET(E246,-H$2+1,0)),0)</f>
        <v>0</v>
      </c>
      <c r="I246" s="18">
        <f t="shared" ca="1" si="6"/>
        <v>0</v>
      </c>
      <c r="J246" s="4"/>
    </row>
    <row r="247" spans="1:10">
      <c r="A247" s="12"/>
      <c r="B247" s="13">
        <v>0</v>
      </c>
      <c r="C247" s="13">
        <v>0</v>
      </c>
      <c r="D247" s="13">
        <v>0</v>
      </c>
      <c r="E247" s="13">
        <v>0</v>
      </c>
      <c r="F247" s="19">
        <v>0</v>
      </c>
      <c r="G247" s="34">
        <f ca="1">IF(A247&lt;&gt;"",AVERAGE(E247:OFFSET(E247,-G$2+1,0)),0)</f>
        <v>0</v>
      </c>
      <c r="H247" s="16">
        <f ca="1">IF(A247&lt;&gt;"",AVERAGE(E247:OFFSET(E247,-H$2+1,0)),0)</f>
        <v>0</v>
      </c>
      <c r="I247" s="18">
        <f t="shared" ca="1" si="6"/>
        <v>0</v>
      </c>
      <c r="J247" s="4"/>
    </row>
    <row r="248" spans="1:10">
      <c r="A248" s="12"/>
      <c r="B248" s="13">
        <v>0</v>
      </c>
      <c r="C248" s="13">
        <v>0</v>
      </c>
      <c r="D248" s="13">
        <v>0</v>
      </c>
      <c r="E248" s="13">
        <v>0</v>
      </c>
      <c r="F248" s="19">
        <v>0</v>
      </c>
      <c r="G248" s="34">
        <f ca="1">IF(A248&lt;&gt;"",AVERAGE(E248:OFFSET(E248,-G$2+1,0)),0)</f>
        <v>0</v>
      </c>
      <c r="H248" s="16">
        <f ca="1">IF(A248&lt;&gt;"",AVERAGE(E248:OFFSET(E248,-H$2+1,0)),0)</f>
        <v>0</v>
      </c>
      <c r="I248" s="18">
        <f t="shared" ca="1" si="6"/>
        <v>0</v>
      </c>
      <c r="J248" s="4"/>
    </row>
    <row r="249" spans="1:10">
      <c r="A249" s="12"/>
      <c r="B249" s="13">
        <v>0</v>
      </c>
      <c r="C249" s="13">
        <v>0</v>
      </c>
      <c r="D249" s="13">
        <v>0</v>
      </c>
      <c r="E249" s="13">
        <v>0</v>
      </c>
      <c r="F249" s="19">
        <v>0</v>
      </c>
      <c r="G249" s="34">
        <f ca="1">IF(A249&lt;&gt;"",AVERAGE(E249:OFFSET(E249,-G$2+1,0)),0)</f>
        <v>0</v>
      </c>
      <c r="H249" s="16">
        <f ca="1">IF(A249&lt;&gt;"",AVERAGE(E249:OFFSET(E249,-H$2+1,0)),0)</f>
        <v>0</v>
      </c>
      <c r="I249" s="18">
        <f t="shared" ca="1" si="6"/>
        <v>0</v>
      </c>
      <c r="J249" s="4"/>
    </row>
    <row r="250" spans="1:10">
      <c r="A250" s="12"/>
      <c r="B250" s="13">
        <v>0</v>
      </c>
      <c r="C250" s="13">
        <v>0</v>
      </c>
      <c r="D250" s="13">
        <v>0</v>
      </c>
      <c r="E250" s="13">
        <v>0</v>
      </c>
      <c r="F250" s="19">
        <v>0</v>
      </c>
      <c r="G250" s="34">
        <f ca="1">IF(A250&lt;&gt;"",AVERAGE(E250:OFFSET(E250,-G$2+1,0)),0)</f>
        <v>0</v>
      </c>
      <c r="H250" s="16">
        <f ca="1">IF(A250&lt;&gt;"",AVERAGE(E250:OFFSET(E250,-H$2+1,0)),0)</f>
        <v>0</v>
      </c>
      <c r="I250" s="18">
        <f t="shared" ca="1" si="6"/>
        <v>0</v>
      </c>
      <c r="J250" s="4"/>
    </row>
    <row r="251" spans="1:10">
      <c r="A251" s="12"/>
      <c r="B251" s="13">
        <v>0</v>
      </c>
      <c r="C251" s="13">
        <v>0</v>
      </c>
      <c r="D251" s="13">
        <v>0</v>
      </c>
      <c r="E251" s="13">
        <v>0</v>
      </c>
      <c r="F251" s="19">
        <v>0</v>
      </c>
      <c r="G251" s="34">
        <f ca="1">IF(A251&lt;&gt;"",AVERAGE(E251:OFFSET(E251,-G$2+1,0)),0)</f>
        <v>0</v>
      </c>
      <c r="H251" s="16">
        <f ca="1">IF(A251&lt;&gt;"",AVERAGE(E251:OFFSET(E251,-H$2+1,0)),0)</f>
        <v>0</v>
      </c>
      <c r="I251" s="18">
        <f t="shared" ca="1" si="6"/>
        <v>0</v>
      </c>
      <c r="J251" s="4"/>
    </row>
    <row r="252" spans="1:10">
      <c r="A252" s="12"/>
      <c r="B252" s="13">
        <v>0</v>
      </c>
      <c r="C252" s="13">
        <v>0</v>
      </c>
      <c r="D252" s="13">
        <v>0</v>
      </c>
      <c r="E252" s="13">
        <v>0</v>
      </c>
      <c r="F252" s="19">
        <v>0</v>
      </c>
      <c r="G252" s="34">
        <f ca="1">IF(A252&lt;&gt;"",AVERAGE(E252:OFFSET(E252,-G$2+1,0)),0)</f>
        <v>0</v>
      </c>
      <c r="H252" s="16">
        <f ca="1">IF(A252&lt;&gt;"",AVERAGE(E252:OFFSET(E252,-H$2+1,0)),0)</f>
        <v>0</v>
      </c>
      <c r="I252" s="18">
        <f t="shared" ca="1" si="6"/>
        <v>0</v>
      </c>
      <c r="J252" s="4"/>
    </row>
    <row r="253" spans="1:10">
      <c r="A253" s="12"/>
      <c r="B253" s="13">
        <v>0</v>
      </c>
      <c r="C253" s="13">
        <v>0</v>
      </c>
      <c r="D253" s="13">
        <v>0</v>
      </c>
      <c r="E253" s="13">
        <v>0</v>
      </c>
      <c r="F253" s="19">
        <v>0</v>
      </c>
      <c r="G253" s="34">
        <f ca="1">IF(A253&lt;&gt;"",AVERAGE(E253:OFFSET(E253,-G$2+1,0)),0)</f>
        <v>0</v>
      </c>
      <c r="H253" s="16">
        <f ca="1">IF(A253&lt;&gt;"",AVERAGE(E253:OFFSET(E253,-H$2+1,0)),0)</f>
        <v>0</v>
      </c>
      <c r="I253" s="18">
        <f t="shared" ca="1" si="6"/>
        <v>0</v>
      </c>
      <c r="J253" s="4"/>
    </row>
    <row r="254" spans="1:10">
      <c r="A254" s="12"/>
      <c r="B254" s="13">
        <v>0</v>
      </c>
      <c r="C254" s="13">
        <v>0</v>
      </c>
      <c r="D254" s="13">
        <v>0</v>
      </c>
      <c r="E254" s="13">
        <v>0</v>
      </c>
      <c r="F254" s="19">
        <v>0</v>
      </c>
      <c r="G254" s="34">
        <f ca="1">IF(A254&lt;&gt;"",AVERAGE(E254:OFFSET(E254,-G$2+1,0)),0)</f>
        <v>0</v>
      </c>
      <c r="H254" s="16">
        <f ca="1">IF(A254&lt;&gt;"",AVERAGE(E254:OFFSET(E254,-H$2+1,0)),0)</f>
        <v>0</v>
      </c>
      <c r="I254" s="18">
        <f t="shared" ca="1" si="6"/>
        <v>0</v>
      </c>
      <c r="J254" s="4"/>
    </row>
    <row r="255" spans="1:10">
      <c r="A255" s="12"/>
      <c r="B255" s="13">
        <v>0</v>
      </c>
      <c r="C255" s="13">
        <v>0</v>
      </c>
      <c r="D255" s="13">
        <v>0</v>
      </c>
      <c r="E255" s="13">
        <v>0</v>
      </c>
      <c r="F255" s="19">
        <v>0</v>
      </c>
      <c r="G255" s="34">
        <f ca="1">IF(A255&lt;&gt;"",AVERAGE(E255:OFFSET(E255,-G$2+1,0)),0)</f>
        <v>0</v>
      </c>
      <c r="H255" s="16">
        <f ca="1">IF(A255&lt;&gt;"",AVERAGE(E255:OFFSET(E255,-H$2+1,0)),0)</f>
        <v>0</v>
      </c>
      <c r="I255" s="18">
        <f t="shared" ca="1" si="6"/>
        <v>0</v>
      </c>
      <c r="J255" s="4"/>
    </row>
    <row r="256" spans="1:10">
      <c r="A256" s="12"/>
      <c r="B256" s="13">
        <v>0</v>
      </c>
      <c r="C256" s="13">
        <v>0</v>
      </c>
      <c r="D256" s="13">
        <v>0</v>
      </c>
      <c r="E256" s="13">
        <v>0</v>
      </c>
      <c r="F256" s="19">
        <v>0</v>
      </c>
      <c r="G256" s="34">
        <f ca="1">IF(A256&lt;&gt;"",AVERAGE(E256:OFFSET(E256,-G$2+1,0)),0)</f>
        <v>0</v>
      </c>
      <c r="H256" s="16">
        <f ca="1">IF(A256&lt;&gt;"",AVERAGE(E256:OFFSET(E256,-H$2+1,0)),0)</f>
        <v>0</v>
      </c>
      <c r="I256" s="18">
        <f t="shared" ca="1" si="6"/>
        <v>0</v>
      </c>
      <c r="J256" s="4"/>
    </row>
    <row r="257" spans="1:10">
      <c r="A257" s="12"/>
      <c r="B257" s="13">
        <v>0</v>
      </c>
      <c r="C257" s="13">
        <v>0</v>
      </c>
      <c r="D257" s="13">
        <v>0</v>
      </c>
      <c r="E257" s="13">
        <v>0</v>
      </c>
      <c r="F257" s="19">
        <v>0</v>
      </c>
      <c r="G257" s="34">
        <f ca="1">IF(A257&lt;&gt;"",AVERAGE(E257:OFFSET(E257,-G$2+1,0)),0)</f>
        <v>0</v>
      </c>
      <c r="H257" s="16">
        <f ca="1">IF(A257&lt;&gt;"",AVERAGE(E257:OFFSET(E257,-H$2+1,0)),0)</f>
        <v>0</v>
      </c>
      <c r="I257" s="18">
        <f t="shared" ca="1" si="6"/>
        <v>0</v>
      </c>
      <c r="J257" s="4"/>
    </row>
    <row r="258" spans="1:10">
      <c r="A258" s="12"/>
      <c r="B258" s="13">
        <v>0</v>
      </c>
      <c r="C258" s="13">
        <v>0</v>
      </c>
      <c r="D258" s="13">
        <v>0</v>
      </c>
      <c r="E258" s="13">
        <v>0</v>
      </c>
      <c r="F258" s="19">
        <v>0</v>
      </c>
      <c r="G258" s="34">
        <f ca="1">IF(A258&lt;&gt;"",AVERAGE(E258:OFFSET(E258,-G$2+1,0)),0)</f>
        <v>0</v>
      </c>
      <c r="H258" s="16">
        <f ca="1">IF(A258&lt;&gt;"",AVERAGE(E258:OFFSET(E258,-H$2+1,0)),0)</f>
        <v>0</v>
      </c>
      <c r="I258" s="18">
        <f t="shared" ca="1" si="6"/>
        <v>0</v>
      </c>
      <c r="J258" s="4"/>
    </row>
    <row r="259" spans="1:10">
      <c r="A259" s="12"/>
      <c r="B259" s="13">
        <v>0</v>
      </c>
      <c r="C259" s="13">
        <v>0</v>
      </c>
      <c r="D259" s="13">
        <v>0</v>
      </c>
      <c r="E259" s="13">
        <v>0</v>
      </c>
      <c r="F259" s="19">
        <v>0</v>
      </c>
      <c r="G259" s="34">
        <f ca="1">IF(A259&lt;&gt;"",AVERAGE(E259:OFFSET(E259,-G$2+1,0)),0)</f>
        <v>0</v>
      </c>
      <c r="H259" s="16">
        <f ca="1">IF(A259&lt;&gt;"",AVERAGE(E259:OFFSET(E259,-H$2+1,0)),0)</f>
        <v>0</v>
      </c>
      <c r="I259" s="18">
        <f t="shared" ca="1" si="6"/>
        <v>0</v>
      </c>
      <c r="J259" s="4"/>
    </row>
    <row r="260" spans="1:10">
      <c r="A260" s="12"/>
      <c r="B260" s="13">
        <v>0</v>
      </c>
      <c r="C260" s="13">
        <v>0</v>
      </c>
      <c r="D260" s="13">
        <v>0</v>
      </c>
      <c r="E260" s="13">
        <v>0</v>
      </c>
      <c r="F260" s="19">
        <v>0</v>
      </c>
      <c r="G260" s="34">
        <f ca="1">IF(A260&lt;&gt;"",AVERAGE(E260:OFFSET(E260,-G$2+1,0)),0)</f>
        <v>0</v>
      </c>
      <c r="H260" s="16">
        <f ca="1">IF(A260&lt;&gt;"",AVERAGE(E260:OFFSET(E260,-H$2+1,0)),0)</f>
        <v>0</v>
      </c>
      <c r="I260" s="18">
        <f t="shared" ca="1" si="6"/>
        <v>0</v>
      </c>
      <c r="J260" s="4"/>
    </row>
    <row r="261" spans="1:10">
      <c r="A261" s="12"/>
      <c r="B261" s="13">
        <v>0</v>
      </c>
      <c r="C261" s="13">
        <v>0</v>
      </c>
      <c r="D261" s="13">
        <v>0</v>
      </c>
      <c r="E261" s="13">
        <v>0</v>
      </c>
      <c r="F261" s="19">
        <v>0</v>
      </c>
      <c r="G261" s="34">
        <f ca="1">IF(A261&lt;&gt;"",AVERAGE(E261:OFFSET(E261,-G$2+1,0)),0)</f>
        <v>0</v>
      </c>
      <c r="H261" s="16">
        <f ca="1">IF(A261&lt;&gt;"",AVERAGE(E261:OFFSET(E261,-H$2+1,0)),0)</f>
        <v>0</v>
      </c>
      <c r="I261" s="18">
        <f t="shared" ca="1" si="6"/>
        <v>0</v>
      </c>
      <c r="J261" s="4"/>
    </row>
    <row r="262" spans="1:10">
      <c r="A262" s="12"/>
      <c r="B262" s="13">
        <v>0</v>
      </c>
      <c r="C262" s="13">
        <v>0</v>
      </c>
      <c r="D262" s="13">
        <v>0</v>
      </c>
      <c r="E262" s="13">
        <v>0</v>
      </c>
      <c r="F262" s="19">
        <v>0</v>
      </c>
      <c r="G262" s="34">
        <f ca="1">IF(A262&lt;&gt;"",AVERAGE(E262:OFFSET(E262,-G$2+1,0)),0)</f>
        <v>0</v>
      </c>
      <c r="H262" s="16">
        <f ca="1">IF(A262&lt;&gt;"",AVERAGE(E262:OFFSET(E262,-H$2+1,0)),0)</f>
        <v>0</v>
      </c>
      <c r="I262" s="18">
        <f t="shared" ca="1" si="6"/>
        <v>0</v>
      </c>
      <c r="J262" s="4"/>
    </row>
    <row r="263" spans="1:10">
      <c r="A263" s="12"/>
      <c r="B263" s="13">
        <v>0</v>
      </c>
      <c r="C263" s="13">
        <v>0</v>
      </c>
      <c r="D263" s="13">
        <v>0</v>
      </c>
      <c r="E263" s="13">
        <v>0</v>
      </c>
      <c r="F263" s="19">
        <v>0</v>
      </c>
      <c r="G263" s="34">
        <f ca="1">IF(A263&lt;&gt;"",AVERAGE(E263:OFFSET(E263,-G$2+1,0)),0)</f>
        <v>0</v>
      </c>
      <c r="H263" s="16">
        <f ca="1">IF(A263&lt;&gt;"",AVERAGE(E263:OFFSET(E263,-H$2+1,0)),0)</f>
        <v>0</v>
      </c>
      <c r="I263" s="18">
        <f t="shared" ca="1" si="6"/>
        <v>0</v>
      </c>
      <c r="J263" s="4"/>
    </row>
    <row r="264" spans="1:10">
      <c r="A264" s="12"/>
      <c r="B264" s="13">
        <v>0</v>
      </c>
      <c r="C264" s="13">
        <v>0</v>
      </c>
      <c r="D264" s="13">
        <v>0</v>
      </c>
      <c r="E264" s="13">
        <v>0</v>
      </c>
      <c r="F264" s="19">
        <v>0</v>
      </c>
      <c r="G264" s="34">
        <f ca="1">IF(A264&lt;&gt;"",AVERAGE(E264:OFFSET(E264,-G$2+1,0)),0)</f>
        <v>0</v>
      </c>
      <c r="H264" s="16">
        <f ca="1">IF(A264&lt;&gt;"",AVERAGE(E264:OFFSET(E264,-H$2+1,0)),0)</f>
        <v>0</v>
      </c>
      <c r="I264" s="18">
        <f t="shared" ca="1" si="6"/>
        <v>0</v>
      </c>
      <c r="J264" s="4"/>
    </row>
    <row r="265" spans="1:10">
      <c r="A265" s="12"/>
      <c r="B265" s="13">
        <v>0</v>
      </c>
      <c r="C265" s="13">
        <v>0</v>
      </c>
      <c r="D265" s="13">
        <v>0</v>
      </c>
      <c r="E265" s="13">
        <v>0</v>
      </c>
      <c r="F265" s="19">
        <v>0</v>
      </c>
      <c r="G265" s="34">
        <f ca="1">IF(A265&lt;&gt;"",AVERAGE(E265:OFFSET(E265,-G$2+1,0)),0)</f>
        <v>0</v>
      </c>
      <c r="H265" s="16">
        <f ca="1">IF(A265&lt;&gt;"",AVERAGE(E265:OFFSET(E265,-H$2+1,0)),0)</f>
        <v>0</v>
      </c>
      <c r="I265" s="18">
        <f t="shared" ca="1" si="6"/>
        <v>0</v>
      </c>
      <c r="J265" s="4"/>
    </row>
    <row r="266" spans="1:10">
      <c r="A266" s="12"/>
      <c r="B266" s="13">
        <v>0</v>
      </c>
      <c r="C266" s="13">
        <v>0</v>
      </c>
      <c r="D266" s="13">
        <v>0</v>
      </c>
      <c r="E266" s="13">
        <v>0</v>
      </c>
      <c r="F266" s="19">
        <v>0</v>
      </c>
      <c r="G266" s="34">
        <f ca="1">IF(A266&lt;&gt;"",AVERAGE(E266:OFFSET(E266,-G$2+1,0)),0)</f>
        <v>0</v>
      </c>
      <c r="H266" s="16">
        <f ca="1">IF(A266&lt;&gt;"",AVERAGE(E266:OFFSET(E266,-H$2+1,0)),0)</f>
        <v>0</v>
      </c>
      <c r="I266" s="18">
        <f t="shared" ca="1" si="6"/>
        <v>0</v>
      </c>
      <c r="J266" s="4"/>
    </row>
    <row r="267" spans="1:10">
      <c r="A267" s="12"/>
      <c r="B267" s="13">
        <v>0</v>
      </c>
      <c r="C267" s="13">
        <v>0</v>
      </c>
      <c r="D267" s="13">
        <v>0</v>
      </c>
      <c r="E267" s="13">
        <v>0</v>
      </c>
      <c r="F267" s="19">
        <v>0</v>
      </c>
      <c r="G267" s="34">
        <f ca="1">IF(A267&lt;&gt;"",AVERAGE(E267:OFFSET(E267,-G$2+1,0)),0)</f>
        <v>0</v>
      </c>
      <c r="H267" s="16">
        <f ca="1">IF(A267&lt;&gt;"",AVERAGE(E267:OFFSET(E267,-H$2+1,0)),0)</f>
        <v>0</v>
      </c>
      <c r="I267" s="18">
        <f t="shared" ca="1" si="6"/>
        <v>0</v>
      </c>
      <c r="J267" s="4"/>
    </row>
    <row r="268" spans="1:10">
      <c r="A268" s="12"/>
      <c r="B268" s="13">
        <v>0</v>
      </c>
      <c r="C268" s="13">
        <v>0</v>
      </c>
      <c r="D268" s="13">
        <v>0</v>
      </c>
      <c r="E268" s="13">
        <v>0</v>
      </c>
      <c r="F268" s="19">
        <v>0</v>
      </c>
      <c r="G268" s="34">
        <f ca="1">IF(A268&lt;&gt;"",AVERAGE(E268:OFFSET(E268,-G$2+1,0)),0)</f>
        <v>0</v>
      </c>
      <c r="H268" s="16">
        <f ca="1">IF(A268&lt;&gt;"",AVERAGE(E268:OFFSET(E268,-H$2+1,0)),0)</f>
        <v>0</v>
      </c>
      <c r="I268" s="18">
        <f t="shared" ca="1" si="6"/>
        <v>0</v>
      </c>
      <c r="J268" s="4"/>
    </row>
    <row r="269" spans="1:10">
      <c r="A269" s="12"/>
      <c r="B269" s="13">
        <v>0</v>
      </c>
      <c r="C269" s="13">
        <v>0</v>
      </c>
      <c r="D269" s="13">
        <v>0</v>
      </c>
      <c r="E269" s="13">
        <v>0</v>
      </c>
      <c r="F269" s="19">
        <v>0</v>
      </c>
      <c r="G269" s="34">
        <f ca="1">IF(A269&lt;&gt;"",AVERAGE(E269:OFFSET(E269,-G$2+1,0)),0)</f>
        <v>0</v>
      </c>
      <c r="H269" s="16">
        <f ca="1">IF(A269&lt;&gt;"",AVERAGE(E269:OFFSET(E269,-H$2+1,0)),0)</f>
        <v>0</v>
      </c>
      <c r="I269" s="18">
        <f t="shared" ca="1" si="6"/>
        <v>0</v>
      </c>
      <c r="J269" s="4"/>
    </row>
    <row r="270" spans="1:10">
      <c r="A270" s="12"/>
      <c r="B270" s="13">
        <v>0</v>
      </c>
      <c r="C270" s="13">
        <v>0</v>
      </c>
      <c r="D270" s="13">
        <v>0</v>
      </c>
      <c r="E270" s="13">
        <v>0</v>
      </c>
      <c r="F270" s="19">
        <v>0</v>
      </c>
      <c r="G270" s="34">
        <f ca="1">IF(A270&lt;&gt;"",AVERAGE(E270:OFFSET(E270,-G$2+1,0)),0)</f>
        <v>0</v>
      </c>
      <c r="H270" s="16">
        <f ca="1">IF(A270&lt;&gt;"",AVERAGE(E270:OFFSET(E270,-H$2+1,0)),0)</f>
        <v>0</v>
      </c>
      <c r="I270" s="18">
        <f t="shared" ca="1" si="6"/>
        <v>0</v>
      </c>
      <c r="J270" s="4"/>
    </row>
    <row r="271" spans="1:10">
      <c r="A271" s="12"/>
      <c r="B271" s="13">
        <v>0</v>
      </c>
      <c r="C271" s="13">
        <v>0</v>
      </c>
      <c r="D271" s="13">
        <v>0</v>
      </c>
      <c r="E271" s="13">
        <v>0</v>
      </c>
      <c r="F271" s="19">
        <v>0</v>
      </c>
      <c r="G271" s="34">
        <f ca="1">IF(A271&lt;&gt;"",AVERAGE(E271:OFFSET(E271,-G$2+1,0)),0)</f>
        <v>0</v>
      </c>
      <c r="H271" s="16">
        <f ca="1">IF(A271&lt;&gt;"",AVERAGE(E271:OFFSET(E271,-H$2+1,0)),0)</f>
        <v>0</v>
      </c>
      <c r="I271" s="18">
        <f t="shared" ca="1" si="6"/>
        <v>0</v>
      </c>
      <c r="J271" s="4"/>
    </row>
    <row r="272" spans="1:10">
      <c r="A272" s="12"/>
      <c r="B272" s="13">
        <v>0</v>
      </c>
      <c r="C272" s="13">
        <v>0</v>
      </c>
      <c r="D272" s="13">
        <v>0</v>
      </c>
      <c r="E272" s="13">
        <v>0</v>
      </c>
      <c r="F272" s="19">
        <v>0</v>
      </c>
      <c r="G272" s="34">
        <f ca="1">IF(A272&lt;&gt;"",AVERAGE(E272:OFFSET(E272,-G$2+1,0)),0)</f>
        <v>0</v>
      </c>
      <c r="H272" s="16">
        <f ca="1">IF(A272&lt;&gt;"",AVERAGE(E272:OFFSET(E272,-H$2+1,0)),0)</f>
        <v>0</v>
      </c>
      <c r="I272" s="18">
        <f t="shared" ca="1" si="6"/>
        <v>0</v>
      </c>
      <c r="J272" s="4"/>
    </row>
    <row r="273" spans="1:10">
      <c r="A273" s="12"/>
      <c r="B273" s="13">
        <v>0</v>
      </c>
      <c r="C273" s="13">
        <v>0</v>
      </c>
      <c r="D273" s="13">
        <v>0</v>
      </c>
      <c r="E273" s="13">
        <v>0</v>
      </c>
      <c r="F273" s="19">
        <v>0</v>
      </c>
      <c r="G273" s="34">
        <f ca="1">IF(A273&lt;&gt;"",AVERAGE(E273:OFFSET(E273,-G$2+1,0)),0)</f>
        <v>0</v>
      </c>
      <c r="H273" s="16">
        <f ca="1">IF(A273&lt;&gt;"",AVERAGE(E273:OFFSET(E273,-H$2+1,0)),0)</f>
        <v>0</v>
      </c>
      <c r="I273" s="18">
        <f t="shared" ca="1" si="6"/>
        <v>0</v>
      </c>
      <c r="J273" s="4"/>
    </row>
    <row r="274" spans="1:10">
      <c r="A274" s="12"/>
      <c r="B274" s="13">
        <v>0</v>
      </c>
      <c r="C274" s="13">
        <v>0</v>
      </c>
      <c r="D274" s="13">
        <v>0</v>
      </c>
      <c r="E274" s="13">
        <v>0</v>
      </c>
      <c r="F274" s="19">
        <v>0</v>
      </c>
      <c r="G274" s="34">
        <f ca="1">IF(A274&lt;&gt;"",AVERAGE(E274:OFFSET(E274,-G$2+1,0)),0)</f>
        <v>0</v>
      </c>
      <c r="H274" s="16">
        <f ca="1">IF(A274&lt;&gt;"",AVERAGE(E274:OFFSET(E274,-H$2+1,0)),0)</f>
        <v>0</v>
      </c>
      <c r="I274" s="18">
        <f t="shared" ca="1" si="6"/>
        <v>0</v>
      </c>
      <c r="J274" s="4"/>
    </row>
    <row r="275" spans="1:10">
      <c r="A275" s="12"/>
      <c r="B275" s="13">
        <v>0</v>
      </c>
      <c r="C275" s="13">
        <v>0</v>
      </c>
      <c r="D275" s="13">
        <v>0</v>
      </c>
      <c r="E275" s="13">
        <v>0</v>
      </c>
      <c r="F275" s="19">
        <v>0</v>
      </c>
      <c r="G275" s="34">
        <f ca="1">IF(A275&lt;&gt;"",AVERAGE(E275:OFFSET(E275,-G$2+1,0)),0)</f>
        <v>0</v>
      </c>
      <c r="H275" s="16">
        <f ca="1">IF(A275&lt;&gt;"",AVERAGE(E275:OFFSET(E275,-H$2+1,0)),0)</f>
        <v>0</v>
      </c>
      <c r="I275" s="18">
        <f t="shared" ca="1" si="6"/>
        <v>0</v>
      </c>
      <c r="J275" s="4"/>
    </row>
    <row r="276" spans="1:10">
      <c r="A276" s="12"/>
      <c r="B276" s="13">
        <v>0</v>
      </c>
      <c r="C276" s="13">
        <v>0</v>
      </c>
      <c r="D276" s="13">
        <v>0</v>
      </c>
      <c r="E276" s="13">
        <v>0</v>
      </c>
      <c r="F276" s="19">
        <v>0</v>
      </c>
      <c r="G276" s="34">
        <f ca="1">IF(A276&lt;&gt;"",AVERAGE(E276:OFFSET(E276,-G$2+1,0)),0)</f>
        <v>0</v>
      </c>
      <c r="H276" s="16">
        <f ca="1">IF(A276&lt;&gt;"",AVERAGE(E276:OFFSET(E276,-H$2+1,0)),0)</f>
        <v>0</v>
      </c>
      <c r="I276" s="18">
        <f t="shared" ca="1" si="6"/>
        <v>0</v>
      </c>
      <c r="J276" s="4"/>
    </row>
    <row r="277" spans="1:10">
      <c r="A277" s="12"/>
      <c r="B277" s="13">
        <v>0</v>
      </c>
      <c r="C277" s="13">
        <v>0</v>
      </c>
      <c r="D277" s="13">
        <v>0</v>
      </c>
      <c r="E277" s="13">
        <v>0</v>
      </c>
      <c r="F277" s="19">
        <v>0</v>
      </c>
      <c r="G277" s="34">
        <f ca="1">IF(A277&lt;&gt;"",AVERAGE(E277:OFFSET(E277,-G$2+1,0)),0)</f>
        <v>0</v>
      </c>
      <c r="H277" s="16">
        <f ca="1">IF(A277&lt;&gt;"",AVERAGE(E277:OFFSET(E277,-H$2+1,0)),0)</f>
        <v>0</v>
      </c>
      <c r="I277" s="18">
        <f t="shared" ca="1" si="6"/>
        <v>0</v>
      </c>
      <c r="J277" s="4"/>
    </row>
    <row r="278" spans="1:10">
      <c r="A278" s="12"/>
      <c r="B278" s="13">
        <v>0</v>
      </c>
      <c r="C278" s="13">
        <v>0</v>
      </c>
      <c r="D278" s="13">
        <v>0</v>
      </c>
      <c r="E278" s="13">
        <v>0</v>
      </c>
      <c r="F278" s="19">
        <v>0</v>
      </c>
      <c r="G278" s="34">
        <f ca="1">IF(A278&lt;&gt;"",AVERAGE(E278:OFFSET(E278,-G$2+1,0)),0)</f>
        <v>0</v>
      </c>
      <c r="H278" s="16">
        <f ca="1">IF(A278&lt;&gt;"",AVERAGE(E278:OFFSET(E278,-H$2+1,0)),0)</f>
        <v>0</v>
      </c>
      <c r="I278" s="18">
        <f t="shared" ref="I278:I301" ca="1" si="7">IF(AND(G277&lt;=H277,G278&gt;H278),1,IF(AND(G277&gt;=H277,G278&lt;H278),-1,0))</f>
        <v>0</v>
      </c>
      <c r="J278" s="4"/>
    </row>
    <row r="279" spans="1:10">
      <c r="A279" s="12"/>
      <c r="B279" s="13">
        <v>0</v>
      </c>
      <c r="C279" s="13">
        <v>0</v>
      </c>
      <c r="D279" s="13">
        <v>0</v>
      </c>
      <c r="E279" s="13">
        <v>0</v>
      </c>
      <c r="F279" s="19">
        <v>0</v>
      </c>
      <c r="G279" s="34">
        <f ca="1">IF(A279&lt;&gt;"",AVERAGE(E279:OFFSET(E279,-G$2+1,0)),0)</f>
        <v>0</v>
      </c>
      <c r="H279" s="16">
        <f ca="1">IF(A279&lt;&gt;"",AVERAGE(E279:OFFSET(E279,-H$2+1,0)),0)</f>
        <v>0</v>
      </c>
      <c r="I279" s="18">
        <f t="shared" ca="1" si="7"/>
        <v>0</v>
      </c>
      <c r="J279" s="4"/>
    </row>
    <row r="280" spans="1:10">
      <c r="A280" s="12"/>
      <c r="B280" s="13">
        <v>0</v>
      </c>
      <c r="C280" s="13">
        <v>0</v>
      </c>
      <c r="D280" s="13">
        <v>0</v>
      </c>
      <c r="E280" s="13">
        <v>0</v>
      </c>
      <c r="F280" s="19">
        <v>0</v>
      </c>
      <c r="G280" s="34">
        <f ca="1">IF(A280&lt;&gt;"",AVERAGE(E280:OFFSET(E280,-G$2+1,0)),0)</f>
        <v>0</v>
      </c>
      <c r="H280" s="16">
        <f ca="1">IF(A280&lt;&gt;"",AVERAGE(E280:OFFSET(E280,-H$2+1,0)),0)</f>
        <v>0</v>
      </c>
      <c r="I280" s="18">
        <f t="shared" ca="1" si="7"/>
        <v>0</v>
      </c>
      <c r="J280" s="4"/>
    </row>
    <row r="281" spans="1:10">
      <c r="A281" s="12"/>
      <c r="B281" s="13">
        <v>0</v>
      </c>
      <c r="C281" s="13">
        <v>0</v>
      </c>
      <c r="D281" s="13">
        <v>0</v>
      </c>
      <c r="E281" s="13">
        <v>0</v>
      </c>
      <c r="F281" s="19">
        <v>0</v>
      </c>
      <c r="G281" s="34">
        <f ca="1">IF(A281&lt;&gt;"",AVERAGE(E281:OFFSET(E281,-G$2+1,0)),0)</f>
        <v>0</v>
      </c>
      <c r="H281" s="16">
        <f ca="1">IF(A281&lt;&gt;"",AVERAGE(E281:OFFSET(E281,-H$2+1,0)),0)</f>
        <v>0</v>
      </c>
      <c r="I281" s="18">
        <f t="shared" ca="1" si="7"/>
        <v>0</v>
      </c>
      <c r="J281" s="4"/>
    </row>
    <row r="282" spans="1:10">
      <c r="A282" s="12"/>
      <c r="B282" s="13">
        <v>0</v>
      </c>
      <c r="C282" s="13">
        <v>0</v>
      </c>
      <c r="D282" s="13">
        <v>0</v>
      </c>
      <c r="E282" s="13">
        <v>0</v>
      </c>
      <c r="F282" s="19">
        <v>0</v>
      </c>
      <c r="G282" s="34">
        <f ca="1">IF(A282&lt;&gt;"",AVERAGE(E282:OFFSET(E282,-G$2+1,0)),0)</f>
        <v>0</v>
      </c>
      <c r="H282" s="16">
        <f ca="1">IF(A282&lt;&gt;"",AVERAGE(E282:OFFSET(E282,-H$2+1,0)),0)</f>
        <v>0</v>
      </c>
      <c r="I282" s="18">
        <f t="shared" ca="1" si="7"/>
        <v>0</v>
      </c>
      <c r="J282" s="4"/>
    </row>
    <row r="283" spans="1:10">
      <c r="A283" s="12"/>
      <c r="B283" s="13">
        <v>0</v>
      </c>
      <c r="C283" s="13">
        <v>0</v>
      </c>
      <c r="D283" s="13">
        <v>0</v>
      </c>
      <c r="E283" s="13">
        <v>0</v>
      </c>
      <c r="F283" s="19">
        <v>0</v>
      </c>
      <c r="G283" s="34">
        <f ca="1">IF(A283&lt;&gt;"",AVERAGE(E283:OFFSET(E283,-G$2+1,0)),0)</f>
        <v>0</v>
      </c>
      <c r="H283" s="16">
        <f ca="1">IF(A283&lt;&gt;"",AVERAGE(E283:OFFSET(E283,-H$2+1,0)),0)</f>
        <v>0</v>
      </c>
      <c r="I283" s="18">
        <f t="shared" ca="1" si="7"/>
        <v>0</v>
      </c>
      <c r="J283" s="4"/>
    </row>
    <row r="284" spans="1:10">
      <c r="A284" s="12"/>
      <c r="B284" s="13">
        <v>0</v>
      </c>
      <c r="C284" s="13">
        <v>0</v>
      </c>
      <c r="D284" s="13">
        <v>0</v>
      </c>
      <c r="E284" s="13">
        <v>0</v>
      </c>
      <c r="F284" s="19">
        <v>0</v>
      </c>
      <c r="G284" s="34">
        <f ca="1">IF(A284&lt;&gt;"",AVERAGE(E284:OFFSET(E284,-G$2+1,0)),0)</f>
        <v>0</v>
      </c>
      <c r="H284" s="16">
        <f ca="1">IF(A284&lt;&gt;"",AVERAGE(E284:OFFSET(E284,-H$2+1,0)),0)</f>
        <v>0</v>
      </c>
      <c r="I284" s="18">
        <f t="shared" ca="1" si="7"/>
        <v>0</v>
      </c>
      <c r="J284" s="4"/>
    </row>
    <row r="285" spans="1:10">
      <c r="A285" s="12"/>
      <c r="B285" s="13">
        <v>0</v>
      </c>
      <c r="C285" s="13">
        <v>0</v>
      </c>
      <c r="D285" s="13">
        <v>0</v>
      </c>
      <c r="E285" s="13">
        <v>0</v>
      </c>
      <c r="F285" s="19">
        <v>0</v>
      </c>
      <c r="G285" s="34">
        <f ca="1">IF(A285&lt;&gt;"",AVERAGE(E285:OFFSET(E285,-G$2+1,0)),0)</f>
        <v>0</v>
      </c>
      <c r="H285" s="16">
        <f ca="1">IF(A285&lt;&gt;"",AVERAGE(E285:OFFSET(E285,-H$2+1,0)),0)</f>
        <v>0</v>
      </c>
      <c r="I285" s="18">
        <f t="shared" ca="1" si="7"/>
        <v>0</v>
      </c>
      <c r="J285" s="4"/>
    </row>
    <row r="286" spans="1:10">
      <c r="A286" s="12"/>
      <c r="B286" s="13">
        <v>0</v>
      </c>
      <c r="C286" s="13">
        <v>0</v>
      </c>
      <c r="D286" s="13">
        <v>0</v>
      </c>
      <c r="E286" s="13">
        <v>0</v>
      </c>
      <c r="F286" s="19">
        <v>0</v>
      </c>
      <c r="G286" s="34">
        <f ca="1">IF(A286&lt;&gt;"",AVERAGE(E286:OFFSET(E286,-G$2+1,0)),0)</f>
        <v>0</v>
      </c>
      <c r="H286" s="16">
        <f ca="1">IF(A286&lt;&gt;"",AVERAGE(E286:OFFSET(E286,-H$2+1,0)),0)</f>
        <v>0</v>
      </c>
      <c r="I286" s="18">
        <f t="shared" ca="1" si="7"/>
        <v>0</v>
      </c>
      <c r="J286" s="4"/>
    </row>
    <row r="287" spans="1:10">
      <c r="A287" s="12"/>
      <c r="B287" s="13">
        <v>0</v>
      </c>
      <c r="C287" s="13">
        <v>0</v>
      </c>
      <c r="D287" s="13">
        <v>0</v>
      </c>
      <c r="E287" s="13">
        <v>0</v>
      </c>
      <c r="F287" s="19">
        <v>0</v>
      </c>
      <c r="G287" s="34">
        <f ca="1">IF(A287&lt;&gt;"",AVERAGE(E287:OFFSET(E287,-G$2+1,0)),0)</f>
        <v>0</v>
      </c>
      <c r="H287" s="16">
        <f ca="1">IF(A287&lt;&gt;"",AVERAGE(E287:OFFSET(E287,-H$2+1,0)),0)</f>
        <v>0</v>
      </c>
      <c r="I287" s="18">
        <f t="shared" ca="1" si="7"/>
        <v>0</v>
      </c>
      <c r="J287" s="4"/>
    </row>
    <row r="288" spans="1:10">
      <c r="A288" s="12"/>
      <c r="B288" s="13">
        <v>0</v>
      </c>
      <c r="C288" s="13">
        <v>0</v>
      </c>
      <c r="D288" s="13">
        <v>0</v>
      </c>
      <c r="E288" s="13">
        <v>0</v>
      </c>
      <c r="F288" s="19">
        <v>0</v>
      </c>
      <c r="G288" s="34">
        <f ca="1">IF(A288&lt;&gt;"",AVERAGE(E288:OFFSET(E288,-G$2+1,0)),0)</f>
        <v>0</v>
      </c>
      <c r="H288" s="16">
        <f ca="1">IF(A288&lt;&gt;"",AVERAGE(E288:OFFSET(E288,-H$2+1,0)),0)</f>
        <v>0</v>
      </c>
      <c r="I288" s="18">
        <f t="shared" ca="1" si="7"/>
        <v>0</v>
      </c>
      <c r="J288" s="4"/>
    </row>
    <row r="289" spans="1:10">
      <c r="A289" s="12"/>
      <c r="B289" s="13">
        <v>0</v>
      </c>
      <c r="C289" s="13">
        <v>0</v>
      </c>
      <c r="D289" s="13">
        <v>0</v>
      </c>
      <c r="E289" s="13">
        <v>0</v>
      </c>
      <c r="F289" s="19">
        <v>0</v>
      </c>
      <c r="G289" s="34">
        <f ca="1">IF(A289&lt;&gt;"",AVERAGE(E289:OFFSET(E289,-G$2+1,0)),0)</f>
        <v>0</v>
      </c>
      <c r="H289" s="16">
        <f ca="1">IF(A289&lt;&gt;"",AVERAGE(E289:OFFSET(E289,-H$2+1,0)),0)</f>
        <v>0</v>
      </c>
      <c r="I289" s="18">
        <f t="shared" ca="1" si="7"/>
        <v>0</v>
      </c>
      <c r="J289" s="4"/>
    </row>
    <row r="290" spans="1:10">
      <c r="A290" s="12"/>
      <c r="B290" s="13">
        <v>0</v>
      </c>
      <c r="C290" s="13">
        <v>0</v>
      </c>
      <c r="D290" s="13">
        <v>0</v>
      </c>
      <c r="E290" s="13">
        <v>0</v>
      </c>
      <c r="F290" s="19">
        <v>0</v>
      </c>
      <c r="G290" s="34">
        <f ca="1">IF(A290&lt;&gt;"",AVERAGE(E290:OFFSET(E290,-G$2+1,0)),0)</f>
        <v>0</v>
      </c>
      <c r="H290" s="16">
        <f ca="1">IF(A290&lt;&gt;"",AVERAGE(E290:OFFSET(E290,-H$2+1,0)),0)</f>
        <v>0</v>
      </c>
      <c r="I290" s="18">
        <f t="shared" ca="1" si="7"/>
        <v>0</v>
      </c>
      <c r="J290" s="4"/>
    </row>
    <row r="291" spans="1:10">
      <c r="A291" s="12"/>
      <c r="B291" s="13">
        <v>0</v>
      </c>
      <c r="C291" s="13">
        <v>0</v>
      </c>
      <c r="D291" s="13">
        <v>0</v>
      </c>
      <c r="E291" s="13">
        <v>0</v>
      </c>
      <c r="F291" s="19">
        <v>0</v>
      </c>
      <c r="G291" s="34">
        <f ca="1">IF(A291&lt;&gt;"",AVERAGE(E291:OFFSET(E291,-G$2+1,0)),0)</f>
        <v>0</v>
      </c>
      <c r="H291" s="16">
        <f ca="1">IF(A291&lt;&gt;"",AVERAGE(E291:OFFSET(E291,-H$2+1,0)),0)</f>
        <v>0</v>
      </c>
      <c r="I291" s="18">
        <f t="shared" ca="1" si="7"/>
        <v>0</v>
      </c>
      <c r="J291" s="4"/>
    </row>
    <row r="292" spans="1:10">
      <c r="A292" s="12"/>
      <c r="B292" s="13">
        <v>0</v>
      </c>
      <c r="C292" s="13">
        <v>0</v>
      </c>
      <c r="D292" s="13">
        <v>0</v>
      </c>
      <c r="E292" s="13">
        <v>0</v>
      </c>
      <c r="F292" s="19">
        <v>0</v>
      </c>
      <c r="G292" s="34">
        <f ca="1">IF(A292&lt;&gt;"",AVERAGE(E292:OFFSET(E292,-G$2+1,0)),0)</f>
        <v>0</v>
      </c>
      <c r="H292" s="16">
        <f ca="1">IF(A292&lt;&gt;"",AVERAGE(E292:OFFSET(E292,-H$2+1,0)),0)</f>
        <v>0</v>
      </c>
      <c r="I292" s="18">
        <f t="shared" ca="1" si="7"/>
        <v>0</v>
      </c>
      <c r="J292" s="4"/>
    </row>
    <row r="293" spans="1:10">
      <c r="A293" s="12"/>
      <c r="B293" s="13">
        <v>0</v>
      </c>
      <c r="C293" s="13">
        <v>0</v>
      </c>
      <c r="D293" s="13">
        <v>0</v>
      </c>
      <c r="E293" s="13">
        <v>0</v>
      </c>
      <c r="F293" s="19">
        <v>0</v>
      </c>
      <c r="G293" s="34">
        <f ca="1">IF(A293&lt;&gt;"",AVERAGE(E293:OFFSET(E293,-G$2+1,0)),0)</f>
        <v>0</v>
      </c>
      <c r="H293" s="16">
        <f ca="1">IF(A293&lt;&gt;"",AVERAGE(E293:OFFSET(E293,-H$2+1,0)),0)</f>
        <v>0</v>
      </c>
      <c r="I293" s="18">
        <f t="shared" ca="1" si="7"/>
        <v>0</v>
      </c>
      <c r="J293" s="4"/>
    </row>
    <row r="294" spans="1:10">
      <c r="A294" s="12"/>
      <c r="B294" s="13">
        <v>0</v>
      </c>
      <c r="C294" s="13">
        <v>0</v>
      </c>
      <c r="D294" s="13">
        <v>0</v>
      </c>
      <c r="E294" s="13">
        <v>0</v>
      </c>
      <c r="F294" s="19">
        <v>0</v>
      </c>
      <c r="G294" s="34">
        <f ca="1">IF(A294&lt;&gt;"",AVERAGE(E294:OFFSET(E294,-G$2+1,0)),0)</f>
        <v>0</v>
      </c>
      <c r="H294" s="16">
        <f ca="1">IF(A294&lt;&gt;"",AVERAGE(E294:OFFSET(E294,-H$2+1,0)),0)</f>
        <v>0</v>
      </c>
      <c r="I294" s="18">
        <f t="shared" ca="1" si="7"/>
        <v>0</v>
      </c>
      <c r="J294" s="4"/>
    </row>
    <row r="295" spans="1:10">
      <c r="A295" s="12"/>
      <c r="B295" s="13">
        <v>0</v>
      </c>
      <c r="C295" s="13">
        <v>0</v>
      </c>
      <c r="D295" s="13">
        <v>0</v>
      </c>
      <c r="E295" s="13">
        <v>0</v>
      </c>
      <c r="F295" s="19">
        <v>0</v>
      </c>
      <c r="G295" s="34">
        <f ca="1">IF(A295&lt;&gt;"",AVERAGE(E295:OFFSET(E295,-G$2+1,0)),0)</f>
        <v>0</v>
      </c>
      <c r="H295" s="16">
        <f ca="1">IF(A295&lt;&gt;"",AVERAGE(E295:OFFSET(E295,-H$2+1,0)),0)</f>
        <v>0</v>
      </c>
      <c r="I295" s="18">
        <f t="shared" ca="1" si="7"/>
        <v>0</v>
      </c>
      <c r="J295" s="4"/>
    </row>
    <row r="296" spans="1:10">
      <c r="A296" s="12"/>
      <c r="B296" s="13">
        <v>0</v>
      </c>
      <c r="C296" s="13">
        <v>0</v>
      </c>
      <c r="D296" s="13">
        <v>0</v>
      </c>
      <c r="E296" s="13">
        <v>0</v>
      </c>
      <c r="F296" s="19">
        <v>0</v>
      </c>
      <c r="G296" s="34">
        <f ca="1">IF(A296&lt;&gt;"",AVERAGE(E296:OFFSET(E296,-G$2+1,0)),0)</f>
        <v>0</v>
      </c>
      <c r="H296" s="16">
        <f ca="1">IF(A296&lt;&gt;"",AVERAGE(E296:OFFSET(E296,-H$2+1,0)),0)</f>
        <v>0</v>
      </c>
      <c r="I296" s="18">
        <f t="shared" ca="1" si="7"/>
        <v>0</v>
      </c>
      <c r="J296" s="4"/>
    </row>
    <row r="297" spans="1:10">
      <c r="A297" s="12"/>
      <c r="B297" s="13">
        <v>0</v>
      </c>
      <c r="C297" s="13">
        <v>0</v>
      </c>
      <c r="D297" s="13">
        <v>0</v>
      </c>
      <c r="E297" s="13">
        <v>0</v>
      </c>
      <c r="F297" s="19">
        <v>0</v>
      </c>
      <c r="G297" s="34">
        <f ca="1">IF(A297&lt;&gt;"",AVERAGE(E297:OFFSET(E297,-G$2+1,0)),0)</f>
        <v>0</v>
      </c>
      <c r="H297" s="16">
        <f ca="1">IF(A297&lt;&gt;"",AVERAGE(E297:OFFSET(E297,-H$2+1,0)),0)</f>
        <v>0</v>
      </c>
      <c r="I297" s="18">
        <f t="shared" ca="1" si="7"/>
        <v>0</v>
      </c>
      <c r="J297" s="4"/>
    </row>
    <row r="298" spans="1:10">
      <c r="A298" s="12"/>
      <c r="B298" s="13">
        <v>0</v>
      </c>
      <c r="C298" s="13">
        <v>0</v>
      </c>
      <c r="D298" s="13">
        <v>0</v>
      </c>
      <c r="E298" s="13">
        <v>0</v>
      </c>
      <c r="F298" s="19">
        <v>0</v>
      </c>
      <c r="G298" s="34">
        <f ca="1">IF(A298&lt;&gt;"",AVERAGE(E298:OFFSET(E298,-G$2+1,0)),0)</f>
        <v>0</v>
      </c>
      <c r="H298" s="16">
        <f ca="1">IF(A298&lt;&gt;"",AVERAGE(E298:OFFSET(E298,-H$2+1,0)),0)</f>
        <v>0</v>
      </c>
      <c r="I298" s="18">
        <f t="shared" ca="1" si="7"/>
        <v>0</v>
      </c>
      <c r="J298" s="4"/>
    </row>
    <row r="299" spans="1:10">
      <c r="A299" s="12"/>
      <c r="B299" s="13">
        <v>0</v>
      </c>
      <c r="C299" s="13">
        <v>0</v>
      </c>
      <c r="D299" s="13">
        <v>0</v>
      </c>
      <c r="E299" s="13">
        <v>0</v>
      </c>
      <c r="F299" s="19">
        <v>0</v>
      </c>
      <c r="G299" s="34">
        <f ca="1">IF(A299&lt;&gt;"",AVERAGE(E299:OFFSET(E299,-G$2+1,0)),0)</f>
        <v>0</v>
      </c>
      <c r="H299" s="16">
        <f ca="1">IF(A299&lt;&gt;"",AVERAGE(E299:OFFSET(E299,-H$2+1,0)),0)</f>
        <v>0</v>
      </c>
      <c r="I299" s="18">
        <f t="shared" ca="1" si="7"/>
        <v>0</v>
      </c>
      <c r="J299" s="4"/>
    </row>
    <row r="300" spans="1:10">
      <c r="A300" s="12"/>
      <c r="B300" s="13">
        <v>0</v>
      </c>
      <c r="C300" s="13">
        <v>0</v>
      </c>
      <c r="D300" s="13">
        <v>0</v>
      </c>
      <c r="E300" s="13">
        <v>0</v>
      </c>
      <c r="F300" s="19">
        <v>0</v>
      </c>
      <c r="G300" s="34">
        <f ca="1">IF(A300&lt;&gt;"",AVERAGE(E300:OFFSET(E300,-G$2+1,0)),0)</f>
        <v>0</v>
      </c>
      <c r="H300" s="16">
        <f ca="1">IF(A300&lt;&gt;"",AVERAGE(E300:OFFSET(E300,-H$2+1,0)),0)</f>
        <v>0</v>
      </c>
      <c r="I300" s="18">
        <f t="shared" ca="1" si="7"/>
        <v>0</v>
      </c>
      <c r="J300" s="4"/>
    </row>
    <row r="301" spans="1:10" ht="17.25" thickBot="1">
      <c r="A301" s="14"/>
      <c r="B301" s="15">
        <v>0</v>
      </c>
      <c r="C301" s="15">
        <v>0</v>
      </c>
      <c r="D301" s="15">
        <v>0</v>
      </c>
      <c r="E301" s="15">
        <v>0</v>
      </c>
      <c r="F301" s="31">
        <v>0</v>
      </c>
      <c r="G301" s="35">
        <f ca="1">IF(A301&lt;&gt;"",AVERAGE(E301:OFFSET(E301,-G$2+1,0)),0)</f>
        <v>0</v>
      </c>
      <c r="H301" s="17">
        <f ca="1">IF(A301&lt;&gt;"",AVERAGE(E301:OFFSET(E301,-H$2+1,0)),0)</f>
        <v>0</v>
      </c>
      <c r="I301" s="18">
        <f t="shared" ca="1" si="7"/>
        <v>0</v>
      </c>
      <c r="J301" s="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Quote</vt:lpstr>
      <vt:lpstr>MinBar</vt:lpstr>
    </vt:vector>
  </TitlesOfParts>
  <Company>XP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2009-02-10T05:35:15Z</dcterms:created>
  <dcterms:modified xsi:type="dcterms:W3CDTF">2009-10-20T15:58:49Z</dcterms:modified>
</cp:coreProperties>
</file>